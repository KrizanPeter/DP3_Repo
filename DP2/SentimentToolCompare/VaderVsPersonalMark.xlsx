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kriza\Desktop\School\Diplomovka\DP\DPNewsScripts\dataProcessing\"/>
    </mc:Choice>
  </mc:AlternateContent>
  <xr:revisionPtr revIDLastSave="0" documentId="8_{F84D4B7A-3961-4609-871D-BF3715E18FCB}" xr6:coauthVersionLast="45" xr6:coauthVersionMax="45" xr10:uidLastSave="{00000000-0000-0000-0000-000000000000}"/>
  <bookViews>
    <workbookView xWindow="-38520" yWindow="-5625" windowWidth="38640" windowHeight="15840"/>
  </bookViews>
  <sheets>
    <sheet name="Sheet1" sheetId="1" r:id="rId1"/>
  </sheets>
  <definedNames>
    <definedName name="_xlchart.v1.0" hidden="1">Sheet1!$Q$1</definedName>
    <definedName name="_xlchart.v1.1" hidden="1">Sheet1!$Q$2</definedName>
    <definedName name="_xlchart.v1.2" hidden="1">Sheet1!$Q$2:$Q$110</definedName>
    <definedName name="_xlchart.v1.3" hidden="1">Sheet1!$Q$1</definedName>
    <definedName name="_xlchart.v1.4" hidden="1">Sheet1!$Q$2</definedName>
    <definedName name="_xlchart.v1.5" hidden="1">Sheet1!$Q$2:$Q$110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2" i="1"/>
  <c r="B116" i="1"/>
  <c r="B115" i="1"/>
</calcChain>
</file>

<file path=xl/sharedStrings.xml><?xml version="1.0" encoding="utf-8"?>
<sst xmlns="http://schemas.openxmlformats.org/spreadsheetml/2006/main" count="892" uniqueCount="469">
  <si>
    <t>Mon Mar 25 23:59:57 +0000 2019</t>
  </si>
  <si>
    <t>Mon Mar 11 13:03:20 +0000 2019</t>
  </si>
  <si>
    <t>RT @learnbitcoin: 4 weeks before @laBITconf in #Bogota !!! #LATAM #blockchain #bitcoin #Colombia #Labitconf2017 @RSKsmart https://t.co/PnQ1…</t>
  </si>
  <si>
    <t>None</t>
  </si>
  <si>
    <t>0.0</t>
  </si>
  <si>
    <t>1.0</t>
  </si>
  <si>
    <t>Mon Mar 25 23:59:59 +0000 2019</t>
  </si>
  <si>
    <t>Tue Apr 10 09:28:37 +0000 2018</t>
  </si>
  <si>
    <t>@WhatsApp to incorporate a #Bitcoin wallet ? Another step towards mainstream adoption?  https://t.co/bHmiZdFCp7 https://t.co/xI7JqllOE1</t>
  </si>
  <si>
    <t>Tue Feb 17 09:27:24 +0000 2015</t>
  </si>
  <si>
    <t>Look at silly jabba.  Bad Hutt.</t>
  </si>
  <si>
    <t>0.407</t>
  </si>
  <si>
    <t>0.465</t>
  </si>
  <si>
    <t>0.128</t>
  </si>
  <si>
    <t>-0.5267</t>
  </si>
  <si>
    <t>Tue Mar 26 00:00:00 +0000 2019</t>
  </si>
  <si>
    <t>Thu Dec 28 20:43:34 +0000 2017</t>
  </si>
  <si>
    <t>Bitcoin's Trading Range Narrows In March to Hit Two-Year Low #bitcoin #cryptocurrency #s85berlin #coindesk… https://t.co/N1x5mskXkg</t>
  </si>
  <si>
    <t>Bitcoin's Trading Range Narrows In March to Hit Two-Year Low #bitcoin #cryptocurrency #s85berlin #coindesk #markettrend #bitsmart https://t.co/UnBxwWp167</t>
  </si>
  <si>
    <t>0.116</t>
  </si>
  <si>
    <t>0.884</t>
  </si>
  <si>
    <t>-0.2732</t>
  </si>
  <si>
    <t>Thu Jan 11 02:56:10 +0000 2018</t>
  </si>
  <si>
    <t>Top50 #Cryptocurrency IN/OUT update in last 12 hours (#crypto #bitcoin #altcoin): IN: $KCS OUT: $BCD https://t.co/u2nM5wdEcc</t>
  </si>
  <si>
    <t>Fri Jan 15 13:33:07 +0000 2016</t>
  </si>
  <si>
    <t>@CryptoVegemite @CryptoBacon @DeaterBob @CryptoN_T @SleepDoctors @PsychedelicBart @bennd77 @Arlos_Guitar… https://t.co/rCUaCXviY8</t>
  </si>
  <si>
    <t>@CryptoVegemite @CryptoBacon @DeaterBob @CryptoN_T @SleepDoctors @PsychedelicBart @bennd77 @Arlos_Guitar @BitcoinJerry @hashamadeus @Hanakookie1 @PandaAnalytics @CarstenBKK @mikeinspace @derose @PhoenixLoneWolf @Joe_Saz @HomelessOnMoon @fittysebum @highsidecrypto @hodlonaut @kakabakasa @marketvoyeur @PaulADW @BTC_Spot @piratebeachbum @BitcoinGent @FarmerNerdtv @ruben_johansen @F0nta1n3 @generalbyztn @jpthor__ @21MillionCoins @TheDesignFlaw @WildB19 @bitgeiniog @allene418 @WhiteRabbitBTC @MattKvenild @binarydreaming @gator_bitcoin @MaximusBitcoin @2357_is_prime @pourteaux @Coinbagger1 @6102bitcoin @raiden321 @SaifuddinJalil YESSS, the essence of BTC promotion in action!  That is how low it's gone. Price to follow, to the bottom.</t>
  </si>
  <si>
    <t>0.034</t>
  </si>
  <si>
    <t>0.966</t>
  </si>
  <si>
    <t>-0.3382</t>
  </si>
  <si>
    <t>Fri Jan 29 15:58:25 +0000 2016</t>
  </si>
  <si>
    <t>.@TimDraper spoke about the potential of emerging technologies such as #blockchain and #crypto for improving major… https://t.co/08W9WjMcnQ</t>
  </si>
  <si>
    <t>.@TimDraper spoke about the potential of emerging technologies such as #blockchain and #crypto for improving major problems in #Argentina's economy - @Cointelegraph https://t.co/VRGM66oog6</t>
  </si>
  <si>
    <t>0.106</t>
  </si>
  <si>
    <t>0.784</t>
  </si>
  <si>
    <t>0.11</t>
  </si>
  <si>
    <t>0.0258</t>
  </si>
  <si>
    <t>Tue Feb 15 20:50:58 +0000 2011</t>
  </si>
  <si>
    <t>Is bitcoin maturing into a stable security? Insights via @CMEGroup https://t.co/OjuiabyocK</t>
  </si>
  <si>
    <t>0.635</t>
  </si>
  <si>
    <t>0.365</t>
  </si>
  <si>
    <t>0.5574</t>
  </si>
  <si>
    <t>Wed Oct 27 18:58:01 +0000 2010</t>
  </si>
  <si>
    <t>Episode 76 of Bitcoin And . . . is LIVE!  Bitcoin Diplomacy (I'm going to be in trouble for this).  Amaury Séchet L… https://t.co/Y9FrWfN97v</t>
  </si>
  <si>
    <t>Episode 76 of Bitcoin And . . . is LIVE!  Bitcoin Diplomacy (I'm going to be in trouble for this).  Amaury Séchet Leaves Bitcoin Unlimited (@AlyssaHertig)  Bitcoin ded because futures (@avibarrons)  Plus: #TorchLight Marty's Bent #TheDailyTrainREKT https://t.co/5EScFxbdKG</t>
  </si>
  <si>
    <t>0.083</t>
  </si>
  <si>
    <t>0.917</t>
  </si>
  <si>
    <t>-0.4574</t>
  </si>
  <si>
    <t>Tue Jun 06 23:31:11 +0000 2017</t>
  </si>
  <si>
    <t>@ #1, Bitcoin with unit price of $3,963.07, market cap of $69,789,872,373 (50.60%), and 24 hr vol. of $10,359,818,882.7 (30.87%)</t>
  </si>
  <si>
    <t>Fri Dec 08 09:27:29 +0000 2017</t>
  </si>
  <si>
    <t>$25 Million in 2 Weeks: BlockFi Booms as Bitcoin and Ether Investors Seek Interest - CoinDesk https://t.co/iK0hozyiQW</t>
  </si>
  <si>
    <t>0.824</t>
  </si>
  <si>
    <t>0.176</t>
  </si>
  <si>
    <t>0.4588</t>
  </si>
  <si>
    <t>Tue Mar 26 00:00:01 +0000 2019</t>
  </si>
  <si>
    <t>Mon Aug 14 13:42:09 +0000 2017</t>
  </si>
  <si>
    <t>#BTC price increased! Buying @ $3935.89 &amp;amp; Selling @ $3935.89  $btc $eth $etc $neo $dgb $dash $strat $eos $omg $pay $xrp $xmr $gas 😆</t>
  </si>
  <si>
    <t>0.893</t>
  </si>
  <si>
    <t>0.107</t>
  </si>
  <si>
    <t>0.3382</t>
  </si>
  <si>
    <t>Mon Jun 27 03:00:26 +0000 2011</t>
  </si>
  <si>
    <t>RT @BobMcElrath: Financial systems work because people who are otherwise adversaries can reach common ground, using it.  It is not a tribe.…</t>
  </si>
  <si>
    <t>Financial systems work because people who are otherwise adversaries can reach common ground, using it.  It is not a tribe. https://t.co/VFDOPYtYDe</t>
  </si>
  <si>
    <t>0.095</t>
  </si>
  <si>
    <t>0.853</t>
  </si>
  <si>
    <t>0.052</t>
  </si>
  <si>
    <t>-0.2263</t>
  </si>
  <si>
    <t>Fri Jul 14 11:52:32 +0000 2017</t>
  </si>
  <si>
    <t>#cryptocurrency Price Analysis for #Bitsend #BSD :  Last Hour Change : 0.65 % || 26-03-2019 02:00 Price in #USD : 0… https://t.co/Jz52S64MzX</t>
  </si>
  <si>
    <t>#cryptocurrency Price Analysis for #Bitsend #BSD :  Last Hour Change : 0.65 % || 26-03-2019 02:00 Price in #USD : 0.0548033858 || Price in #EUR : 0.0484339719 New Price in #Bitcoin #BTC : 0.00001382 || #Coin Rank 733</t>
  </si>
  <si>
    <t>Tue Feb 15 22:25:00 +0000 2011</t>
  </si>
  <si>
    <t>How are you thinking about #cryptocurrencies? A new digital currency called #Stablecoin may be significantly less v… https://t.co/kEnMvDRNkL</t>
  </si>
  <si>
    <t>How are you thinking about #cryptocurrencies? A new digital currency called #Stablecoin may be significantly less volatile and more stable than #Bitcoin. Download our latest PDF to find out why: https://t.co/ADmxP8d9lb https://t.co/j4Plf8T7TL</t>
  </si>
  <si>
    <t>0.923</t>
  </si>
  <si>
    <t>0.077</t>
  </si>
  <si>
    <t>0.3597</t>
  </si>
  <si>
    <t>Sun May 27 21:03:05 +0000 2018</t>
  </si>
  <si>
    <t>RT @VeriSafeProject: An introduction to our platform, available at https://t.co/zGPWJxJDpS! BIG partnership news coming that opens the door…</t>
  </si>
  <si>
    <t>An introduction to our platform, available at https://t.co/zGPWJxJDpS! BIG partnership news coming that opens the door for $VSF to the latest trend of #coin offerings, for any #token built on the platform. You’ll want to read our next articles.  $BTC $ETH $LTC $TRX #IEO #IEOs https://t.co/efurHoqb5r</t>
  </si>
  <si>
    <t>0.1511</t>
  </si>
  <si>
    <t>Wed Apr 18 10:55:50 +0000 2018</t>
  </si>
  <si>
    <t>You Suffer . . . But why !? Bitcoin just hit $3,929.24, time to remotely toggle your rig at home... #bitcoin</t>
  </si>
  <si>
    <t>0.249</t>
  </si>
  <si>
    <t>0.751</t>
  </si>
  <si>
    <t>-0.6476</t>
  </si>
  <si>
    <t>Fri Nov 16 12:21:01 +0000 2018</t>
  </si>
  <si>
    <t>Join our pump group : https://t.co/pCgDsTlCfd   #bitcoin #BTC #ETH #XRP #EOS #Stellar #LTC #BCH #BCHSV #Cardano… https://t.co/SfkqXUT5PZ</t>
  </si>
  <si>
    <t>Join our pump group : https://t.co/pCgDsTlCfd   #bitcoin #BTC #ETH #XRP #EOS #Stellar #LTC #BCH #BCHSV #Cardano #tron #XMR #iota #dash #neo #waves #Qtum #xvg #steem #tpay #DNT #CVC #bigpumpsignal #megapump #bigpumpgroup   Updated on 2019/03/26 00:00:01</t>
  </si>
  <si>
    <t>0.937</t>
  </si>
  <si>
    <t>0.062</t>
  </si>
  <si>
    <t>0.296</t>
  </si>
  <si>
    <t>Tue Mar 26 00:00:02 +0000 2019</t>
  </si>
  <si>
    <t>Fri Sep 18 16:50:15 +0000 2015</t>
  </si>
  <si>
    <t>Average Bitcoin market price is: USD 3,935.29, EUR 3,465.80</t>
  </si>
  <si>
    <t>Thu Dec 21 21:55:12 +0000 2017</t>
  </si>
  <si>
    <t>#Electroneum is now at USD $0.0059539059 and BTC 0.0059539059 (Up 0.44% last hour) #ETN GET ALERTS SENT DIRECTLY TO… https://t.co/dRa82azs9H</t>
  </si>
  <si>
    <t>#Electroneum is now at USD $0.0059539059 and BTC 0.0059539059 (Up 0.44% last hour) #ETN GET ALERTS SENT DIRECTLY TO YOUR INBOX =&amp;gt; https://t.co/VAYWhvVHaj</t>
  </si>
  <si>
    <t>Sun Dec 24 23:32:26 +0000 2017</t>
  </si>
  <si>
    <t>#Cardano is now at USD $0.0589645656 and BTC 0.0589645656 (Up 17.2% last 7 days) #ADA GET ALERTS SENT DIRECTLY TO Y… https://t.co/Dioy2WvlG9</t>
  </si>
  <si>
    <t>#Cardano is now at USD $0.0589645656 and BTC 0.0589645656 (Up 17.2% last 7 days) #ADA GET ALERTS SENT DIRECTLY TO YOUR INBOX =&amp;gt; https://t.co/ekFwApd7qT</t>
  </si>
  <si>
    <t>Mon Jun 26 22:33:42 +0000 2017</t>
  </si>
  <si>
    <t>Total #crypto market cap is $132,090,767,092 USD #bitcoin #cryptocurrency $btc $eth #ethereum</t>
  </si>
  <si>
    <t>Sun Oct 15 11:34:32 +0000 2017</t>
  </si>
  <si>
    <t>$BTC is now worth $3,960.34 (+0.02%) #BTC  ➡️ https://t.co/lNpLBdQRKt</t>
  </si>
  <si>
    <t>0.808</t>
  </si>
  <si>
    <t>0.192</t>
  </si>
  <si>
    <t>0.2263</t>
  </si>
  <si>
    <t>Fri Feb 23 18:16:30 +0000 2018</t>
  </si>
  <si>
    <t>Learn more about Bitcoin on our site: https://t.co/zC6O2Xrv0Q https://t.co/nY6UUIwXbk</t>
  </si>
  <si>
    <t>Mon Dec 31 17:45:21 +0000 2018</t>
  </si>
  <si>
    <t>Why Won’t Bitcoin Stay Above $4000? (Bitcoin Price Prediction Updated March 25) https://t.co/vipYqq3xZ0 https://t.co/p1GLXfIPEQ</t>
  </si>
  <si>
    <t>Mon Feb 12 12:15:52 +0000 2018</t>
  </si>
  <si>
    <t>Current BTC Price: $ 3,908.01. The 24H Change is -1.55%,  24H Volume is $ 23,393,110.3 and the current marketcap is… https://t.co/2VJH4Sg6BV</t>
  </si>
  <si>
    <t>Current BTC Price: $ 3,908.01. The 24H Change is -1.55%,  24H Volume is $ 23,393,110.3 and the current marketcap is $ 68.82 B. #BTC #Ticker #CryptoTickerPro</t>
  </si>
  <si>
    <t>Wed Mar 12 19:17:01 +0000 2014</t>
  </si>
  <si>
    <t>[Guest Post] 3 Rags to Riches Stories From Successful #Bitcoin Investors https://t.co/qBiXi5Daiw</t>
  </si>
  <si>
    <t>0.556</t>
  </si>
  <si>
    <t>0.444</t>
  </si>
  <si>
    <t>0.802</t>
  </si>
  <si>
    <t>Sun Oct 15 12:04:15 +0000 2017</t>
  </si>
  <si>
    <t>$ETH is now worth $134.94 (+0.15%) and 0.03417374 BTC (+0.24%) #ETH  ➡️ https://t.co/KYxFJ3q4Wc</t>
  </si>
  <si>
    <t>0.863</t>
  </si>
  <si>
    <t>0.137</t>
  </si>
  <si>
    <t>Mon Mar 18 19:45:39 +0000 2013</t>
  </si>
  <si>
    <t>JPM coin would not be competing with any cryptocurrency, claims Andreas Antonopoulos #bitcoin https://t.co/wx2Y6sBoxs</t>
  </si>
  <si>
    <t>Tue Nov 21 23:23:38 +0000 2017</t>
  </si>
  <si>
    <t>Don't want to miss any of our public #crypto trading #signals? Want instant updates of our premium channel… https://t.co/OfgCsO70kg</t>
  </si>
  <si>
    <t>Don't want to miss any of our public #crypto trading #signals? Want instant updates of our premium channel #performance?  Searching for #crypto news?  Get instantly notified on our public telegram channel  Join now at https://t.co/akfmLiArya  #DGB #SC #MFT #EOS #XVG #BTC #TRX https://t.co/PtPTY7w8ct</t>
  </si>
  <si>
    <t>0.027</t>
  </si>
  <si>
    <t>0.12</t>
  </si>
  <si>
    <t>0.5043</t>
  </si>
  <si>
    <t>Tue May 22 07:30:19 +0000 2018</t>
  </si>
  <si>
    <t>#CRYPTO 24H GAINERS  $MXM +29.08% [$0.096, #Volume: 4,792.16 BTC] $KCS +12.59% [$1.40, #Volume: 1,654.94 BTC] $BTS… https://t.co/Moz5eDqBsB</t>
  </si>
  <si>
    <t>#CRYPTO 24H GAINERS  $MXM +29.08% [$0.096, #Volume: 4,792.16 BTC] $KCS +12.59% [$1.40, #Volume: 1,654.94 BTC] $BTS +12.49% [$0.059, #Volume: 25,117.12 BTC] $LINK +4.16% [$0.48, #Volume: 2,130.38 BTC] $XTZ +3.93% [$0.70, #Volume: 982.71 BTC]</t>
  </si>
  <si>
    <t>Sat May 20 12:42:01 +0000 2017</t>
  </si>
  <si>
    <t>$GNT is now worth $0.0805 (-0.60%) and 0.00002034 BTC (-0.78%) #GNT  ➡️ https://t.co/xEimydKpzO</t>
  </si>
  <si>
    <t>Wed Jun 03 17:55:03 +0000 2015</t>
  </si>
  <si>
    <t>RT @Lionel46294550: There is a bad disease in crypto it’s called bitcoin pairing, as long as all other crypto is paired to btc retail inves…</t>
  </si>
  <si>
    <t>There is a bad disease in crypto it’s called bitcoin pairing, as long as all other crypto is paired to btc retail investors won’t return, until the exchanges realise this and start unpairing bitcoin the market will remain dead https://t.co/MPIdh5UePG</t>
  </si>
  <si>
    <t>0.174</t>
  </si>
  <si>
    <t>0.826</t>
  </si>
  <si>
    <t>-0.8316</t>
  </si>
  <si>
    <t>Sun Feb 27 20:33:53 +0000 2011</t>
  </si>
  <si>
    <t>Check all here --&amp;gt; https://t.co/S1I0bDpMr2  On #wexnz #NMC to #BTC -- &amp;gt; 0.00019, volume --&amp;gt; 18360  On #BitFinex… https://t.co/gu0GsxOXhc</t>
  </si>
  <si>
    <t>Check all here --&amp;gt; https://t.co/S1I0bDpMr2  On #wexnz #NMC to #BTC -- &amp;gt; 0.00019, volume --&amp;gt; 18360  On #BitFinex #XMR to #USD -- &amp;gt; 51.706, volume --&amp;gt; 2900  On #Cex.io #BTC to #GBP -- &amp;gt; 3027.9, volume --&amp;gt; 10  On #Bittrex #XMR to #BTC -- &amp;gt; 0.01303286, volume --&amp;gt; 17277 https://t.co/RhVxdCY8Up</t>
  </si>
  <si>
    <t>Join 'The Signal Premium'   - Daily 3~6 trade Signals - 80% success rate - Premium Telegram &amp;amp; Twitter access - for… https://t.co/jjVfw6Vcyx</t>
  </si>
  <si>
    <t>Join 'The Signal Premium'   - Daily 3~6 trade Signals - 80% success rate - Premium Telegram &amp;amp; Twitter access - for #Binance/#Bittrex  Sign-up for the latest trade signals &amp;gt; https://t.co/89v8sDyAfW  #bitcoin #trading #crypto #cryptotrading #XVG #BTC #GVT #ELF #BAT #NANO #VET #DENT https://t.co/CSgHRhUhe0</t>
  </si>
  <si>
    <t>0.862</t>
  </si>
  <si>
    <t>0.138</t>
  </si>
  <si>
    <t>0.7096</t>
  </si>
  <si>
    <t>Thu Aug 17 10:54:57 +0000 2017</t>
  </si>
  <si>
    <t>$NEO is now worth $8.99 (+0.11%) and 0.00227134 BTC (-0.04%) #NEO  ➡️ https://t.co/IfL7bEdSRV</t>
  </si>
  <si>
    <t>$BTC maximalist price (e.g. 100% dominance): $7,385 USD #bitcoin #cryptocurrency 👑 $crypto</t>
  </si>
  <si>
    <t>Tue Mar 26 00:00:03 +0000 2019</t>
  </si>
  <si>
    <t>Thu Mar 18 12:55:05 +0000 2010</t>
  </si>
  <si>
    <t>#BTC #bitcoin $3944.0 #ETH #ethereum $134.04 #BCH #Bitcoin Cash $397.34 #ltc #litecoin $58.95 #XRP #ripple $0.3… https://t.co/i55ZyKYHCs</t>
  </si>
  <si>
    <t>#BTC #bitcoin $3944.0 #ETH #ethereum $134.04 #BCH #Bitcoin Cash $397.34 #ltc #litecoin $58.95 #XRP #ripple $0.3 #XMR #monero $51.29 #DSH #dash $89.49 #criptovalute #valutevirtuali  https://t.co/cMNqFfDMDW</t>
  </si>
  <si>
    <t>Thu May 03 06:06:33 +0000 2018</t>
  </si>
  <si>
    <t>【#TakeOff Project】  Here is slideshow about TakeOff Project and Value of TKO token.  Slideshow (5min to read)… https://t.co/xFEWdNbO5e</t>
  </si>
  <si>
    <t>【#TakeOff Project】  Here is slideshow about TakeOff Project and Value of TKO token.  Slideshow (5min to read) https://t.co/mN7ie3cbEO  #Crypto #Blockchain #ether #ethereum #bitcoin #cryptocurrency</t>
  </si>
  <si>
    <t>0.906</t>
  </si>
  <si>
    <t>0.094</t>
  </si>
  <si>
    <t>0.34</t>
  </si>
  <si>
    <t>Thu Jun 28 01:02:57 +0000 2018</t>
  </si>
  <si>
    <t>BitcoinCore $BTCC stats:  price: $0.106 / 0.00002671 BTC  24h vol: 0.019 BTC BTC @ $ 3,960.34</t>
  </si>
  <si>
    <t>Tue Apr 17 02:56:40 +0000 2018</t>
  </si>
  <si>
    <t>A $XMR is worth 0.01323991 BTC</t>
  </si>
  <si>
    <t>0.678</t>
  </si>
  <si>
    <t>0.322</t>
  </si>
  <si>
    <t>Mon Oct 16 16:10:38 +0000 2017</t>
  </si>
  <si>
    <t>$XRP is now worth $0.304 (+0.12%) and 0.00007675 BTC (-0.04%) #XRP  ➡️ https://t.co/rmGIxiU3Q2</t>
  </si>
  <si>
    <t>Sun May 22 14:27:22 +0000 2016</t>
  </si>
  <si>
    <t>Top 10 Mentions on Twitter in the last hour - $BTC $ETH $XRP $LTC $EOS $TRX $ADA $NEO $XLM $BCH   More on… https://t.co/Vye62F80an</t>
  </si>
  <si>
    <t>Top 10 Mentions on Twitter in the last hour - $BTC $ETH $XRP $LTC $EOS $TRX $ADA $NEO $XLM $BCH   More on https://t.co/ke7SHQm6tN 🚀 https://t.co/ZmgKhFojkr</t>
  </si>
  <si>
    <t>0.924</t>
  </si>
  <si>
    <t>0.076</t>
  </si>
  <si>
    <t>0.2023</t>
  </si>
  <si>
    <t>Tue Dec 11 14:16:36 +0000 2018</t>
  </si>
  <si>
    <t>Current prices and changes in the last hour:  $BTC: $3966.39 | 0.12% $ETH: $135.09 | 0.15% $XRP: $0.304005 | 0.12%… https://t.co/XnUhIUTeEn</t>
  </si>
  <si>
    <t>Current prices and changes in the last hour:  $BTC: $3966.39 | 0.12% $ETH: $135.09 | 0.15% $XRP: $0.304005 | 0.12% $LTC: $59.49 | 0.10% $EOS: $3.68 | 0.22% $BCH: $161.55 | -0.06% $BNB: $16.83 | 0.92% $USDT: $1.01 | 0.14% $XLM: $0.102395 | -0.10% $ADA: $0.058998 | 0.64%</t>
  </si>
  <si>
    <t>Sun Feb 10 20:10:55 +0000 2019</t>
  </si>
  <si>
    <t>New episode of 4 Minute Crypto And Bitcoin Daily News added: Switzerland’s Biggest Online Retailer Accepting Bitcoin https://t.co/CPrRXdQii3</t>
  </si>
  <si>
    <t>0.86</t>
  </si>
  <si>
    <t>0.14</t>
  </si>
  <si>
    <t>0.3818</t>
  </si>
  <si>
    <t>Sun Jun 18 16:20:12 +0000 2017</t>
  </si>
  <si>
    <t>$SC is now worth $0.00260 (-0.79%) and 0.00000066 BTC (0.00%) #SC  ➡️ https://t.co/bx0KmAC84b</t>
  </si>
  <si>
    <t>Thu Jul 25 11:13:56 +0000 2013</t>
  </si>
  <si>
    <t>BitcoinAverage - bitcoin price index - ($ 3930.6) - https://t.co/z6cbnPDdmv #bitcoin https://t.co/vhqDPcdn6k</t>
  </si>
  <si>
    <t>Tue Mar 26 00:00:04 +0000 2019</t>
  </si>
  <si>
    <t>Wed Apr 03 21:03:01 +0000 2013</t>
  </si>
  <si>
    <t>This tweet, "RT davidwhite_ai: Bitcoin Blockchain Costs Approx. $7 Million a Day to Stay Secure #blockchain  coinde… https://t.co/FlKvWk2TA4</t>
  </si>
  <si>
    <t>This tweet, "RT davidwhite_ai: Bitcoin Blockchain Costs Approx. $7 Million a Day to Stay Secure #blockchain  coindesk  https://t.co/OIyYcn52kP" hasn't been tweeted more than 1 times.</t>
  </si>
  <si>
    <t>0.902</t>
  </si>
  <si>
    <t>0.098</t>
  </si>
  <si>
    <t>Mon Oct 30 14:29:46 +0000 2017</t>
  </si>
  <si>
    <t>$BCH is now worth $161.61 (+0.10%) and 0.04082738 BTC (-0.05%) #BCH  ➡️ https://t.co/OBPowSSXLe</t>
  </si>
  <si>
    <t>Wed Apr 09 17:21:14 +0000 2014</t>
  </si>
  <si>
    <t>RT @AC_breezy: I would patreon anyone who took the time to teach/ELI5 areas of bitcoin like distributed networks, nodes, mining, all aspect…</t>
  </si>
  <si>
    <t>I would patreon anyone who took the time to teach/ELI5 areas of bitcoin like distributed networks, nodes, mining, all aspects of code, key management, OPSec, and more.   A 1-100% understanding of how the technology Satoshi unleashed means the world will change.</t>
  </si>
  <si>
    <t>0.938</t>
  </si>
  <si>
    <t>0.3612</t>
  </si>
  <si>
    <t>RT @swiftcashcc: Free addition to our Mobile/Web Wallet! Which one do you prefer? DOGE or DASH? Follow, Like, RT and Tag 3 of your friends…</t>
  </si>
  <si>
    <t>Free addition to our Mobile/Web Wallet! Which one do you prefer? DOGE or DASH? Follow, Like, RT and Tag 3 of your friends below for a chance to win 1,000 SWIFT. Total Twitter prize pool is 50K SWIFT! #blockchain #bitcoin #altcoin #masternode #litecoin #dogecoin #doge #dash #steem</t>
  </si>
  <si>
    <t>0.606</t>
  </si>
  <si>
    <t>0.394</t>
  </si>
  <si>
    <t>0.972</t>
  </si>
  <si>
    <t>Thu Oct 01 11:10:33 +0000 2015</t>
  </si>
  <si>
    <t>Bitcoin Has Gone Live - Bitcoin Charts in Coinbase News Analysis #Bitcoin</t>
  </si>
  <si>
    <t>Mon Oct 30 16:19:41 +0000 2017</t>
  </si>
  <si>
    <t>$LTC is now worth $59.50 (+0.27%) and 0.01503282 BTC (+0.12%) #LTC  ➡️ https://t.co/cScw5PqWEa</t>
  </si>
  <si>
    <t>Sat Sep 09 21:56:08 +0000 2017</t>
  </si>
  <si>
    <t>Market Update: The price of #Bitcoin is currently $3954.45  #Crypto $BTC #BTC  View the coin here here: https://t.co/ycSnnrGeFC</t>
  </si>
  <si>
    <t>Tue Mar 26 00:00:05 +0000 2019</t>
  </si>
  <si>
    <t>Mon Oct 30 16:39:56 +0000 2017</t>
  </si>
  <si>
    <t>$XMR is now worth $52.28 (+0.11%) and 0.01320769 BTC (-0.04%) #XMR  ➡️ https://t.co/UqSYMArARS</t>
  </si>
  <si>
    <t>Wed Dec 20 15:12:50 +0000 2017</t>
  </si>
  <si>
    <t>$XLM is now worth $0.1024 (-0.25%) and 0.00002587 BTC (-0.42%) #XLM  ➡️ https://t.co/2m9Ikbh8ow</t>
  </si>
  <si>
    <t>Sun Jul 14 14:23:27 +0000 2013</t>
  </si>
  <si>
    <t>Binance: $3934.72 Bitstamp: $3909 Bitfinex: $3970.0 Coinbase: $3929.03 Check out some #AltCoins… https://t.co/aTmYcgMXBW</t>
  </si>
  <si>
    <t>Binance: $3934.72 Bitstamp: $3909 Bitfinex: $3970.0 Coinbase: $3929.03 Check out some #AltCoins https://t.co/LR6I2KNkx2 Start trading now https://t.co/mCPS3QAdOM #bitcoin #ethereum #blockchain</t>
  </si>
  <si>
    <t>Tue Jan 02 17:48:03 +0000 2018</t>
  </si>
  <si>
    <t>$REQ is now worth $0.0000 (nan%) and  BTC (nan%) #REQ  ➡️ https://t.co/BtVcfpM3FI</t>
  </si>
  <si>
    <t>0.147</t>
  </si>
  <si>
    <t>Mon Feb 26 19:42:25 +0000 2007</t>
  </si>
  <si>
    <t>Used to feel bcash was viable for some dev; I built submarine swaps for it. Then they spammed their own chain, maki… https://t.co/MQ7P113eSn</t>
  </si>
  <si>
    <t>We are looking for someone from the Bitcoin Cash community to fork and maintain our bcash repo. Without community support, it will not be ready for the May hard fork. Our team has kept bcash on consensus through two hard forks already! https://t.co/mNiCrqtItw #BCH #BitcoinCash</t>
  </si>
  <si>
    <t>0.154</t>
  </si>
  <si>
    <t>0.846</t>
  </si>
  <si>
    <t>-0.6662</t>
  </si>
  <si>
    <t>Tue Mar 26 00:00:06 +0000 2019</t>
  </si>
  <si>
    <t>Wed Dec 20 09:13:51 +0000 2017</t>
  </si>
  <si>
    <t>$BTC : +0.10%📈 3963$ Top (last h): $PAI : +1.82%📈 1352st $BCD : +1.55%📈 20655st $CNX : +1.40%📈 28710st $LINK : +1.2… https://t.co/eqAWh4xDOn</t>
  </si>
  <si>
    <t>$BTC : +0.10%📈 3963$ Top (last h): $PAI : +1.82%📈 1352st $BCD : +1.55%📈 20655st $CNX : +1.40%📈 28710st $LINK : +1.24%📈 12051st Worst (last h): $PIVX : -8.04%📉 21480st $DGB : -6.99%📉 310st $XTZ : -1.06%📉 17351st #cryptocurrency #blockchain</t>
  </si>
  <si>
    <t>0.114</t>
  </si>
  <si>
    <t>0.836</t>
  </si>
  <si>
    <t>0.05</t>
  </si>
  <si>
    <t>-0.5106</t>
  </si>
  <si>
    <t>Sat Mar 24 03:07:42 +0000 2018</t>
  </si>
  <si>
    <t>TOP-12 most-mentioned #crypto this hour: 1. #bitcoin 2. #ethereum 3. #xrp 4. #litecoin 5. #tezos 6. #wax 7.… https://t.co/kuIJrG0HtW</t>
  </si>
  <si>
    <t>TOP-12 most-mentioned #crypto this hour: 1. #bitcoin 2. #ethereum 3. #xrp 4. #litecoin 5. #tezos 6. #wax 7. #stratis 8. #status 9. #bitcoincash 10. #eos 11. #dash 12. #ardor #cryptocurrency #altcoin #blockchain #news #CryptoBuzzTracker https://t.co/JyyvBJHRMm</t>
  </si>
  <si>
    <t>Sun Feb 26 05:30:00 +0000 2012</t>
  </si>
  <si>
    <t>WTB Supreme Directors Chair paying $200 in btc or PayPal</t>
  </si>
  <si>
    <t>0.714</t>
  </si>
  <si>
    <t>0.286</t>
  </si>
  <si>
    <t>Tue Sep 04 01:29:23 +0000 2018</t>
  </si>
  <si>
    <t>@jaketapper @KaraScannell @TheLeadCNN Wouldn’t of got charged with bank fraud if he used Bitcoin 🤭</t>
  </si>
  <si>
    <t>0.318</t>
  </si>
  <si>
    <t>0.682</t>
  </si>
  <si>
    <t>-0.6808</t>
  </si>
  <si>
    <t>Mon Mar 19 23:55:16 +0000 2012</t>
  </si>
  <si>
    <t>RT @BryceWeiner: The Bitcoin protocol, itself, doesn't exist.  There's no standards committee nor are there any best practices laid out by…</t>
  </si>
  <si>
    <t>The Bitcoin protocol, itself, doesn't exist.  There's no standards committee nor are there any best practices laid out by academics or law.  Every change to the protocol is a result of social media shitposting and always has been.</t>
  </si>
  <si>
    <t>0.852</t>
  </si>
  <si>
    <t>0.148</t>
  </si>
  <si>
    <t>0.7259</t>
  </si>
  <si>
    <t>Tue Apr 02 21:19:17 +0000 2013</t>
  </si>
  <si>
    <t>One Bitcoin now worth $3929.242. Market Cap $69.194 Billion. Based on #coindesk BPI #bitcoin</t>
  </si>
  <si>
    <t>0.872</t>
  </si>
  <si>
    <t>Fri Mar 30 10:57:07 +0000 2018</t>
  </si>
  <si>
    <t>#EVX - Sharp decrease 1h: -9.8% V: 77.7M$ on https://t.co/fC7n9Xb8X9   Users are notified 1H ago via… https://t.co/SkogPW3GZU</t>
  </si>
  <si>
    <t>#EVX - Sharp decrease 1h: -9.8% V: 77.7M$ on https://t.co/fC7n9Xb8X9   Users are notified 1H ago via https://t.co/mfcT6cyBbr &amp;amp; App.   #blockchain #cryptocurrency #altcoins #coinalert #crypto $EVX $BTC $ETH $XRP $BCH $LTC $EOS $NEO $TRX $BTT #binance #okex https://t.co/RxKabVznlP</t>
  </si>
  <si>
    <t>Tue Mar 26 00:00:07 +0000 2019</t>
  </si>
  <si>
    <t>Sun Mar 24 06:37:07 +0000 2019</t>
  </si>
  <si>
    <t>Long/Short BTC moves with up to 100x Leverage at PrimeXBT! 🎉🤑  Join right away and turn your $75 into $10000:  ✅… https://t.co/DpSzR2NX54</t>
  </si>
  <si>
    <t>Long/Short BTC moves with up to 100x Leverage at PrimeXBT! 🎉🤑  Join right away and turn your $75 into $10000:  ✅ https://t.co/Z7x79j0OjT ✅  Make money even if BTC is going down! 📉📉  $POLY | $MANA | $NAS | $GRIN | $AE | $MKR | $ETH | $ELA | $BTC | $BAT | https://t.co/Oa6bOfm7bi</t>
  </si>
  <si>
    <t>0.935</t>
  </si>
  <si>
    <t>0.065</t>
  </si>
  <si>
    <t>0.4184</t>
  </si>
  <si>
    <t>Sat Sep 08 23:38:36 +0000 2018</t>
  </si>
  <si>
    <t>RT @TatyAurae: Everything that you are looking for in mining can be found in @Mined_Block , in addition to enjoying other benefits that the…</t>
  </si>
  <si>
    <t>33% discount is applicable on all purchases for our STO for the next 7 days. You are able to purchase our MBTX tokens using Bitcoin, Litecoin, Ethereum, Binance Coin or Neo. Get involved by visiting: https://t.co/dcwaUzue5B https://t.co/KiMyM7DUxa</t>
  </si>
  <si>
    <t>Fri Jul 25 01:18:26 +0000 2008</t>
  </si>
  <si>
    <t>RT @IBMBlockchain: .@TimDraper spoke about the potential of emerging technologies such as #blockchain and #crypto for improving major probl…</t>
  </si>
  <si>
    <t>Wed Aug 02 20:52:07 +0000 2017</t>
  </si>
  <si>
    <t>@MythNice @cz_binance l have about 5 BTC. I want to change some EOS. these BTC were stolen. you give me 1000 EOS,l'… https://t.co/0bFuwVhZNm</t>
  </si>
  <si>
    <t>@MythNice @cz_binance l have about 5 BTC. I want to change some EOS. these BTC were stolen. you give me 1000 EOS,l'll give you 5 BTC. nice scam gtfo</t>
  </si>
  <si>
    <t>0.216</t>
  </si>
  <si>
    <t>0.656</t>
  </si>
  <si>
    <t>-0.5859</t>
  </si>
  <si>
    <t>Sun Jan 21 15:27:00 +0000 2018</t>
  </si>
  <si>
    <t>📈 Total Market Cap: $137,928,968,755 💵 1 BTC: $3,963.07 🔴 BTC Dominance: 50.61% ⏰ Update Time: 26-03-2019 - 03:00:06 (GMT+3)</t>
  </si>
  <si>
    <t>0.878</t>
  </si>
  <si>
    <t>0.122</t>
  </si>
  <si>
    <t>Tue Mar 26 00:00:08 +0000 2019</t>
  </si>
  <si>
    <t>Sun Mar 24 05:06:42 +0000 2019</t>
  </si>
  <si>
    <t>Long/Short Bitcoin &amp;amp; altcoin moves with up to 100x Leverage at PrimeXBT! 👑🤩  Join here and turn your $79 into $1250… https://t.co/u13nqi4iI8</t>
  </si>
  <si>
    <t>Long/Short Bitcoin &amp;amp; altcoin moves with up to 100x Leverage at PrimeXBT! 👑🤩  Join here and turn your $79 into $12500:  ✅ https://t.co/vt8cLgeUMG ✅  Earn money even if it is falling! 📉📉  $XMR | $NANO | $CRYPTO | $MDA | $QNT | $VERI | $PPT | $BTC | $FIL | $NXT | https://t.co/8tbSC1Z6ip</t>
  </si>
  <si>
    <t>0.037</t>
  </si>
  <si>
    <t>0.899</t>
  </si>
  <si>
    <t>0.064</t>
  </si>
  <si>
    <t>0.2924</t>
  </si>
  <si>
    <t>Wed Jan 24 19:53:19 +0000 2018</t>
  </si>
  <si>
    <t>Solareum just got added to the coinmarketcap! $SLRM $BTC #cryptocurrency #altcoins https://t.co/lKKe85PAeJ</t>
  </si>
  <si>
    <t>Thu Jan 19 01:41:12 +0000 2017</t>
  </si>
  <si>
    <t>https://t.co/NBF6P8O8KG &amp;lt;&amp;lt;&amp;lt; Don't pass up easy ₿ like this,Refer friends &amp;amp; receive 10% of their earnings too… https://t.co/1imFXmEWQC</t>
  </si>
  <si>
    <t>https://t.co/NBF6P8O8KG &amp;lt;&amp;lt;&amp;lt; Don't pass up easy ₿ like this,Refer friends &amp;amp; receive 10% of their earnings too #Bitcoin #BTC #Crypto #CryptoCurrency #WorkFromHome https://t.co/VWYknjXTPD</t>
  </si>
  <si>
    <t>0.089</t>
  </si>
  <si>
    <t>0.704</t>
  </si>
  <si>
    <t>0.207</t>
  </si>
  <si>
    <t>0.4929</t>
  </si>
  <si>
    <t>Tue Mar 26 00:00:09 +0000 2019</t>
  </si>
  <si>
    <t>Sun Mar 24 06:46:53 +0000 2019</t>
  </si>
  <si>
    <t>Long/Short Bitcoin &amp;amp; altcoin changes with up to 100x Leverage at PrimeXBT! 💰💰  Join right away and turn your $75 in… https://t.co/GGH6UVlAnr</t>
  </si>
  <si>
    <t>Long/Short Bitcoin &amp;amp; altcoin changes with up to 100x Leverage at PrimeXBT! 💰💰  Join right away and turn your $75 into $7500:  ✅ https://t.co/Wz9ZhZLJzT ✅  Earn money even when the price is declining! 📉📉  $ARDR | $BEAM | $COSM | $BAT | $INB | $DENT | $NPXS | $PAY | $ https://t.co/IKRMTAfHS7</t>
  </si>
  <si>
    <t>Tue Jul 04 19:24:53 +0000 2017</t>
  </si>
  <si>
    <t>Mar 25, 2019 05:00PM #Bitcoin Price: USD 3982.90 | EUR 3489.53 | JPY 434236.07</t>
  </si>
  <si>
    <t>Tue Mar 26 00:00:10 +0000 2019</t>
  </si>
  <si>
    <t>Wed Feb 28 10:32:22 +0000 2018</t>
  </si>
  <si>
    <t>$1,986,264 worth of #Bitcoin bought at $3,903.5 00:00:06.902Z 2019/03/26 | https://t.co/crJvC75GzW| 💰💰💰💰💰💰💰💰💰💰 "Wai… https://t.co/4noJbzdbAv</t>
  </si>
  <si>
    <t>$1,986,264 worth of #Bitcoin bought at $3,903.5 00:00:06.902Z 2019/03/26 | https://t.co/crJvC75GzW| 💰💰💰💰💰💰💰💰💰💰 "Wait for the bounce, then short the corn"</t>
  </si>
  <si>
    <t>0.905</t>
  </si>
  <si>
    <t>Tue Mar 26 00:00:11 +0000 2019</t>
  </si>
  <si>
    <t>$1,001,915 worth of #Bitcoin bought at $3,903.65 00:00:06.987Z 2019/03/26 | https://t.co/crJvC75GzW| 💰💰💰💰💰💰💰💰💰💰 "Wa… https://t.co/abdLcyFjEG</t>
  </si>
  <si>
    <t>$1,001,915 worth of #Bitcoin bought at $3,903.65 00:00:06.987Z 2019/03/26 | https://t.co/crJvC75GzW| 💰💰💰💰💰💰💰💰💰💰 "Wait for the bounce, then short the corn"</t>
  </si>
  <si>
    <t>Tue Jun 28 12:23:53 +0000 2016</t>
  </si>
  <si>
    <t>26-Mar-19, 1:00 AM, BTC-Price: 3458.20, Last sale: 3507.50, Wavetrend: -27.79, Current Trade Return: 1.41pct</t>
  </si>
  <si>
    <t>#REN - Rapid Long Period increase 1h: 10.7% V: 12.7M$ on https://t.co/fC7n9Xb8X9   Users are notified 1H ago via… https://t.co/nyYPgLvGtG</t>
  </si>
  <si>
    <t>#REN - Rapid Long Period increase 1h: 10.7% V: 12.7M$ on https://t.co/fC7n9Xb8X9   Users are notified 1H ago via https://t.co/mfcT6cyBbr &amp;amp; App.   #blockchain #cryptocurrency #altcoins #coinalert #crypto $REN $BTC $ETH $XRP $BCH $LTC $EOS $NEO $TRX $BTT #binance #okex https://t.co/O2v0UObc1D</t>
  </si>
  <si>
    <t>0.941</t>
  </si>
  <si>
    <t>0.059</t>
  </si>
  <si>
    <t>0.3182</t>
  </si>
  <si>
    <t>Tue Mar 26 00:00:12 +0000 2019</t>
  </si>
  <si>
    <t>Thu Dec 07 18:09:48 +0000 2017</t>
  </si>
  <si>
    <t>#Bitcoin Social Sentiment is currently MIXED (0%). Visit https://t.co/BCZzlVBhQH to find out why. $BTC $BTCUSD Tues… https://t.co/AJtpgKY6K3</t>
  </si>
  <si>
    <t>#Bitcoin Social Sentiment is currently MIXED (0%). Visit https://t.co/BCZzlVBhQH to find out why. $BTC $BTCUSD Tuesday, 26 March 2019 12:00AM</t>
  </si>
  <si>
    <t>Mon Mar 27 19:17:36 +0000 2017</t>
  </si>
  <si>
    <t>A new post: Crypto Exchange OKEx Is Developing Its Own Blockchain is added on https://t.co/WZ5fnHySZz #altnewsnu #altcoin #bitcoin #news</t>
  </si>
  <si>
    <t>Tue Mar 26 00:00:14 +0000 2019</t>
  </si>
  <si>
    <t>Sun Feb 13 16:11:24 +0000 2011</t>
  </si>
  <si>
    <t>Start earning your first bitcoin with only 100USD https://t.co/dRMz49Ndgd</t>
  </si>
  <si>
    <t>Tue Mar 26 00:00:15 +0000 2019</t>
  </si>
  <si>
    <t>This tweet, "RT bitstashco: Need Support? A Complete Support Center is being Developed #crypto #STASH $STASH… https://t.co/63K5j6YHj3</t>
  </si>
  <si>
    <t>This tweet, "RT bitstashco: Need Support? A Complete Support Center is being Developed #crypto #STASH $STASH #Bitcoin #Cryptocurrency #Ethereum #Blockc…" has been retweeted 12 times.</t>
  </si>
  <si>
    <t>0.803</t>
  </si>
  <si>
    <t>0.197</t>
  </si>
  <si>
    <t>0.6597</t>
  </si>
  <si>
    <t>Wed Nov 01 02:53:50 +0000 2017</t>
  </si>
  <si>
    <t>@cryptoaddict86 BTC USD WEEKLY    https://t.co/kIOOgvgZR0</t>
  </si>
  <si>
    <t>Tue Mar 26 00:00:16 +0000 2019</t>
  </si>
  <si>
    <t>Thu Oct 19 18:37:25 +0000 2017</t>
  </si>
  <si>
    <t>📢 #Robostopia Smart #CryptoCurrency Trader Bot for #Binance and #Bittrex ✅ Trailing Stop-Loss, Buy or Sell… https://t.co/PpblzwKNAu</t>
  </si>
  <si>
    <t>📢 #Robostopia Smart #CryptoCurrency Trader Bot for #Binance and #Bittrex ✅ Trailing Stop-Loss, Buy or Sell #altcoins / BTC pairs. ✅ Auto Renew Orders ✅ Profit / Loss notifications by transactions. ✅ Completed Order notifications and many more.. 👉 https://t.co/vtm2aTYKA0 https://t.co/l9sv5PgJMU</t>
  </si>
  <si>
    <t>0.061</t>
  </si>
  <si>
    <t>0.792</t>
  </si>
  <si>
    <t>0.5106</t>
  </si>
  <si>
    <t>Sun Feb 18 17:04:20 +0000 2018</t>
  </si>
  <si>
    <t>Cloud Mining. Daily Bonus. Bitcoin. Ethereum. Litecoin. Bitcoin Cash. Dogecoin. Ripple. Dash. Golem. Cardano. CureC… https://t.co/yRWEecTBwt</t>
  </si>
  <si>
    <t>Cloud Mining. Daily Bonus. Bitcoin. Ethereum. Litecoin. Bitcoin Cash. Dogecoin. Ripple. Dash. Golem. Cardano. CureCoin. XEM. Monero. Zcash. Factom. Bytecoin. STEEM. Lisk. EOS. Gridcoin. Ethereum Classic. USD. pe Sign Up - https://t.co/wurGR0z1Pg https://t.co/gl1enwCTOP</t>
  </si>
  <si>
    <t>0.101</t>
  </si>
  <si>
    <t>0.5423</t>
  </si>
  <si>
    <t>💰 Market Cap: $137,982,589,500 👊 BTC Dominance: 50.58% 1️⃣ BTC: $3,960.34 | 1H: 0.01% 2️⃣ ETH: $134.94 | 1H: 0.05%… https://t.co/ZfXKRkTiAG</t>
  </si>
  <si>
    <t>💰 Market Cap: $137,982,589,500 👊 BTC Dominance: 50.58% 1️⃣ BTC: $3,960.34 | 1H: 0.01% 2️⃣ ETH: $134.94 | 1H: 0.05% 3️⃣ XRP: $0.30 | 1H: 0.11% 4️⃣ LTC: $59.47 | 1H: 0.05% 5️⃣ EOS: $3.67 | 1H: 0.12% ⏰ 26.03.2019 02:58:29 ℹ Powered by #Robostopia</t>
  </si>
  <si>
    <t>0.951</t>
  </si>
  <si>
    <t>0.049</t>
  </si>
  <si>
    <t>#CIC - Rapid Long Period increase 1h: 50.5% V: 0.3M$ on https://t.co/yect2ma8nX   Users are notified 1H ago via… https://t.co/9q0maMkycL</t>
  </si>
  <si>
    <t>#CIC - Rapid Long Period increase 1h: 50.5% V: 0.3M$ on https://t.co/yect2ma8nX   Users are notified 1H ago via https://t.co/mfcT6cyBbr &amp;amp; App.   #blockchain #cryptocurrency #altcoins #coinalert #crypto $CIC $BTC $ETH $XRP $BCH $LTC $EOS $NEO $TRX $BTT #binance #okex https://t.co/7lrM1oFiBM</t>
  </si>
  <si>
    <t>Tue Mar 26 00:00:17 +0000 2019</t>
  </si>
  <si>
    <t>This tweet, "RT CoinsAirdrops: #Bitcoin #Satoshi #crypto #blockchain #Airdrop New Airdrop #Nexxo 📢  Nexxo airdrop w… https://t.co/eZEp4PvweF</t>
  </si>
  <si>
    <t>This tweet, "RT CoinsAirdrops: #Bitcoin #Satoshi #crypto #blockchain #Airdrop New Airdrop #Nexxo 📢  Nexxo airdrop worth 4205 #NEXXO and 2241 #NEXXO by…" hasn't been tweeted more than 1 times.</t>
  </si>
  <si>
    <t>0.932</t>
  </si>
  <si>
    <t>0.068</t>
  </si>
  <si>
    <t>Thu Jan 04 01:10:12 +0000 2018</t>
  </si>
  <si>
    <t>[00:00] Most mentioned tickers in the last 4 hours: $BTC $ETH $XRP $TRX $LINK $USDT $BNB $LTC $RVN $EOS https://t.co/6EoxLzZumR</t>
  </si>
  <si>
    <t>Tue Mar 26 00:00:18 +0000 2019</t>
  </si>
  <si>
    <t>Mon Jan 20 02:34:55 +0000 2014</t>
  </si>
  <si>
    <t>Top 5  $CSM $ETH on @hitbtc +6% $SHE $BTC on #hadax +7% $SHE $ETH on #hadax +7% $SHE $ETH on #hadax +7% $SHE $BTC on #hadax +7%</t>
  </si>
  <si>
    <t>0.933</t>
  </si>
  <si>
    <t>0.067</t>
  </si>
  <si>
    <t>Sun Mar 08 06:31:18 +0000 2015</t>
  </si>
  <si>
    <t>USD 10,000 per #Bitcoin in 2019 and Other Predictions by Arthur Hayes - Cryptonews https://t.co/nAlbdG2xSM via @googlenews #btc</t>
  </si>
  <si>
    <t>Tue Mar 26 00:00:19 +0000 2019</t>
  </si>
  <si>
    <t>Tue Oct 03 20:01:56 +0000 2017</t>
  </si>
  <si>
    <t>RT @CoinTrendz: Top 10 Mentions on Twitter in the last hour - $BTC $ETH $XRP $LTC $EOS $TRX $ADA $NEO $XLM $BCH   More on https://t.co/ke7S…</t>
  </si>
  <si>
    <t>Tue Mar 26 00:00:20 +0000 2019</t>
  </si>
  <si>
    <t>Fri Jun 22 03:42:13 +0000 2018</t>
  </si>
  <si>
    <t>Bitcoin (BTC) price: $3924.11, 24HR change: -59.17 Ethereum (ETH) price: $133.93, 24HR change: -2.35</t>
  </si>
  <si>
    <t>Fri Dec 29 11:21:20 +0000 2017</t>
  </si>
  <si>
    <t>#Easydex charges almost zero fees per transaction 📈📊  -  Start #trading on the fastest #blockchain ➡️… https://t.co/XXiqs6jEll</t>
  </si>
  <si>
    <t>#Easydex charges almost zero fees per transaction 📈📊  -  Start #trading on the fastest #blockchain ➡️ https://t.co/7WPSZ4b6pF -  #Bitcoin #Ethereum #Litecoin #BitShares #Steem https://t.co/JZ1IyeXCf6</t>
  </si>
  <si>
    <t>0.091</t>
  </si>
  <si>
    <t>0.909</t>
  </si>
  <si>
    <t>Tue Dec 26 18:03:37 +0000 2017</t>
  </si>
  <si>
    <t>Top 5 Cryptocurrencies - Current Prices  Bitcoin $BTC: $3,966.39 ⬆️ +0.12% Ethereum $ETH: $135.09 ⬆️ +0.15% XRP… https://t.co/a3ISsjzeru</t>
  </si>
  <si>
    <t>Top 5 Cryptocurrencies - Current Prices  Bitcoin $BTC: $3,966.39 ⬆️ +0.12% Ethereum $ETH: $135.09 ⬆️ +0.15% XRP $XRP: $0.304004918 ⬆️ +0.12% Litecoin $LTC: $59.49 ⬆️ +0.10% EOS $EOS: $3.68 ⬆️ +0.22%</t>
  </si>
  <si>
    <t>0.94</t>
  </si>
  <si>
    <t>0.06</t>
  </si>
  <si>
    <t>Tue Mar 26 00:00:21 +0000 2019</t>
  </si>
  <si>
    <t>Wed Mar 19 20:23:10 +0000 2014</t>
  </si>
  <si>
    <t>Find this latest installed @generalbytes #bitcoin machine at Vapor Alohma Topeka in #Topeka. Operated by… https://t.co/Ht5MF5PHtE</t>
  </si>
  <si>
    <t>Find this latest installed @generalbytes #bitcoin machine at Vapor Alohma Topeka in #Topeka. Operated by @CoinFlipATM. Supported operations and coins: #BTC #ETH #LTC #DASH https://t.co/niLssEDPqA https://t.co/1OH8fTD47X</t>
  </si>
  <si>
    <t>0.916</t>
  </si>
  <si>
    <t>0.084</t>
  </si>
  <si>
    <t>Sun Sep 24 14:01:22 +0000 2017</t>
  </si>
  <si>
    <t>#Bitcoin Backers Should Be Ticked if #SEC Approves Negative-Fee #ETF - https://t.co/00NCbFmaEZ $BTC #BTC</t>
  </si>
  <si>
    <t>0.17</t>
  </si>
  <si>
    <t>0.667</t>
  </si>
  <si>
    <t>0.164</t>
  </si>
  <si>
    <t>-0.0258</t>
  </si>
  <si>
    <t>Tue Mar 26 00:00:23 +0000 2019</t>
  </si>
  <si>
    <t>Mon Sep 12 23:07:35 +0000 2016</t>
  </si>
  <si>
    <t>@htsfhickey People weren't using gold to stay alive they are using BTC</t>
  </si>
  <si>
    <t>0.809</t>
  </si>
  <si>
    <t>0.191</t>
  </si>
  <si>
    <t>date</t>
  </si>
  <si>
    <t>id</t>
  </si>
  <si>
    <t>user_id</t>
  </si>
  <si>
    <t>user_follower</t>
  </si>
  <si>
    <t>user_friends</t>
  </si>
  <si>
    <t>user_favourites</t>
  </si>
  <si>
    <t>user_statuses</t>
  </si>
  <si>
    <t>user_created_at</t>
  </si>
  <si>
    <t>tweet_text</t>
  </si>
  <si>
    <t>retweeted</t>
  </si>
  <si>
    <t>tweet_full_text</t>
  </si>
  <si>
    <t>negative</t>
  </si>
  <si>
    <t>neutral</t>
  </si>
  <si>
    <t>positive</t>
  </si>
  <si>
    <t>compound</t>
  </si>
  <si>
    <t>Tue Mar 26 00:00:24 +0000 2019</t>
  </si>
  <si>
    <t>Mon Oct 12 11:57:37 +0000 2015</t>
  </si>
  <si>
    <t>RT @cryptobuyer: Join the new digital economy!!! https://t.co/r8LPrVqfhV  #bitcoin #cryptocurrencies #criptomonedas #crypto #venezuela #Pan…</t>
  </si>
  <si>
    <t>Join the new digital economy!!! https://t.co/r8LPrVqfhV  #bitcoin #cryptocurrencies #criptomonedas #crypto #venezuela #Panama #cryptocurrency #dash #litecoin #market #smartphone #finanzaspersonales #countries #dinero #startups #blockchain #atm #litecoinfam #currency #btc https://t.co/Ht2mmKmSV5</t>
  </si>
  <si>
    <t>0.894</t>
  </si>
  <si>
    <t>0.4724</t>
  </si>
  <si>
    <t>Tue Jun 05 18:49:35 +0000 2012</t>
  </si>
  <si>
    <t>RT @catexofficial: Our Dice Game will distribute all the profit made in $BTC, $LTC and $ETH.  Prize of $1,000 will be distributed between t…</t>
  </si>
  <si>
    <t>Our Dice Game will distribute all the profit made in $BTC, $LTC and $ETH.  Prize of $1,000 will be distributed between top 3 winners, so grab your chances right now at https://t.co/Itkz02zmZO 🎲  The $CATT to be burned next days generated from bets: 3.5 million tokens  #Catex https://t.co/o1sHwtpHEo</t>
  </si>
  <si>
    <t>0.757</t>
  </si>
  <si>
    <t>0.243</t>
  </si>
  <si>
    <t>0.9035</t>
  </si>
  <si>
    <t>Sun Jan 28 16:50:53 +0000 2018</t>
  </si>
  <si>
    <t>Hey its the top of the hour time to beg mrbeastyt for a bitcoin. Pls give me a bitcoin https://t.co/K6iP2kfpK0</t>
  </si>
  <si>
    <t>0.838</t>
  </si>
  <si>
    <t>0.162</t>
  </si>
  <si>
    <t>0.2732</t>
  </si>
  <si>
    <t>Sun Apr 22 20:09:05 +0000 2018</t>
  </si>
  <si>
    <t>#moneys How to have bitcoin money? https://t.co/DN4pU5LQRq https://t.co/5q3jyerO0C</t>
  </si>
  <si>
    <t>Mon May 29 12:19:48 +0000 2017</t>
  </si>
  <si>
    <t>RT @cryptosfaucets: Introducing the new #Equicex #BlackCard Bank Account- 100% #Anonymous - NO ID - NO Limits. The Black Card Bank Account…</t>
  </si>
  <si>
    <t>Introducing the new #Equicex #BlackCard Bank Account- 100% #Anonymous - NO ID - NO Limits. The Black Card Bank Account can be loaded with Bitcoin or by Wire Transfer. #bitcoin $BTC @equicexgroup https://t.co/AG4wVelsqn</t>
  </si>
  <si>
    <t>0.168</t>
  </si>
  <si>
    <t>0.832</t>
  </si>
  <si>
    <t>-0.7065</t>
  </si>
  <si>
    <t>Tue Mar 26 00:00:25 +0000 2019</t>
  </si>
  <si>
    <t>Sat Sep 02 16:13:00 +0000 2017</t>
  </si>
  <si>
    <t>Top 100 avg 1h return: 0.2±1.2%; 70 up, 28 down $BTC 0.1%  $ETH 0.1% Best: 2.0% $MOAC @moac_io 1.8% $PAI… https://t.co/QBQp4h8tzB</t>
  </si>
  <si>
    <t>Top 100 avg 1h return: 0.2±1.2%; 70 up, 28 down $BTC 0.1%  $ETH 0.1% Best: 2.0% $MOAC @moac_io 1.8% $PAI @ProjectPai 1.8% $NAS @nebulasio Top 101-200 avg 1h return: 0.5±2.1%; 73 up, 27 down Best: 15.5% $DAC @DavinciFoundat1 5.9% $EVX @everexio 4.4% $ABT @ArcBlock_io  #altcoins https://t.co/RljS0Hosas</t>
  </si>
  <si>
    <t>0.778</t>
  </si>
  <si>
    <t>0.222</t>
  </si>
  <si>
    <t>0.9001</t>
  </si>
  <si>
    <t>#RAPMONEY Who makes money from bitcoin https://t.co/ZurfG5noPA https://t.co/8iW8QaP7Uk</t>
  </si>
  <si>
    <t>Tue Mar 26 00:00:26 +0000 2019</t>
  </si>
  <si>
    <t>Mon Jul 09 17:07:44 +0000 2018</t>
  </si>
  <si>
    <t>Strategy: Strategy_0 Product ID: BTC-USD Invest: False Time of Prediction: 2019-03-26 00:00:03 UTC Prediction:  The… https://t.co/2z3sQTPC0D</t>
  </si>
  <si>
    <t>Strategy: Strategy_0 Product ID: BTC-USD Invest: False Time of Prediction: 2019-03-26 00:00:03 UTC Prediction:  The final closing price of BTC-USD will be LOWER on 2019-03-26 UTC than on 2019-03-25 UTC.</t>
  </si>
  <si>
    <t>0.092</t>
  </si>
  <si>
    <t>0.908</t>
  </si>
  <si>
    <t>-0.4466</t>
  </si>
  <si>
    <t>This tweet, "This tweet, "RT davidwhite_ai: Bitcoin Blockchain Costs Approx. $7 Million a Day to Stay Secure… https://t.co/hsDWkeu7DN</t>
  </si>
  <si>
    <t>This tweet, "This tweet, "RT davidwhite_ai: Bitcoin Blockchain Costs Approx. $7 Million a Day to Stay Secure #blockchain  coindesk  https://t.co/OIyYcn52kP" hasn't been tweeted more than 1 times." hasn't been tweeted more than 0 times.</t>
  </si>
  <si>
    <t>0.926</t>
  </si>
  <si>
    <t>0.074</t>
  </si>
  <si>
    <t>Personal Mark</t>
  </si>
  <si>
    <t>Min</t>
  </si>
  <si>
    <t>Max</t>
  </si>
  <si>
    <t>Sentiment</t>
  </si>
  <si>
    <t>PersonalMark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</si>
</sst>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7" formatCode="#,##0.0000\ _€"/>
    <numFmt numFmtId="168" formatCode="#,##0.00000\ _€"/>
  </numFmts>
  <fonts count="3" x14ac:knownFonts="1">
    <font>
      <sz val="11"/>
      <color theme="1"/>
      <name val="Calibri"/>
      <family val="2"/>
      <charset val="238"/>
      <scheme val="minor"/>
    </font>
    <font>
      <b/>
      <sz val="11"/>
      <color theme="0"/>
      <name val="Calibri"/>
      <family val="2"/>
      <charset val="238"/>
      <scheme val="minor"/>
    </font>
    <font>
      <sz val="8"/>
      <name val="Calibri"/>
      <family val="2"/>
      <charset val="238"/>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3">
    <xf numFmtId="0" fontId="0" fillId="0" borderId="0" xfId="0"/>
    <xf numFmtId="0" fontId="0" fillId="2" borderId="1" xfId="0" applyFill="1" applyBorder="1"/>
    <xf numFmtId="0" fontId="0" fillId="2" borderId="2" xfId="0" applyFill="1" applyBorder="1"/>
    <xf numFmtId="0" fontId="0" fillId="0" borderId="1" xfId="0" applyBorder="1"/>
    <xf numFmtId="0" fontId="0" fillId="0" borderId="2" xfId="0" applyBorder="1"/>
    <xf numFmtId="0" fontId="1" fillId="3" borderId="1" xfId="0" applyFont="1" applyFill="1" applyBorder="1"/>
    <xf numFmtId="0" fontId="1" fillId="3" borderId="2" xfId="0" applyFont="1" applyFill="1" applyBorder="1"/>
    <xf numFmtId="0" fontId="1" fillId="3" borderId="3" xfId="0" applyFont="1" applyFill="1" applyBorder="1"/>
    <xf numFmtId="164" fontId="0" fillId="2" borderId="3" xfId="0" applyNumberFormat="1" applyFill="1" applyBorder="1"/>
    <xf numFmtId="164" fontId="0" fillId="0" borderId="3" xfId="0" applyNumberFormat="1" applyBorder="1"/>
    <xf numFmtId="167" fontId="0" fillId="2" borderId="3" xfId="0" applyNumberFormat="1" applyFill="1" applyBorder="1"/>
    <xf numFmtId="167" fontId="0" fillId="0" borderId="3" xfId="0" applyNumberFormat="1" applyBorder="1"/>
    <xf numFmtId="168" fontId="0" fillId="2" borderId="2"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Sheet1!$X$1</c:f>
              <c:strCache>
                <c:ptCount val="1"/>
                <c:pt idx="0">
                  <c:v>Sentiment</c:v>
                </c:pt>
              </c:strCache>
            </c:strRef>
          </c:tx>
          <c:spPr>
            <a:solidFill>
              <a:schemeClr val="accent1"/>
            </a:solidFill>
            <a:ln>
              <a:noFill/>
            </a:ln>
            <a:effectLst/>
            <a:sp3d/>
          </c:spPr>
          <c:invertIfNegative val="0"/>
          <c:cat>
            <c:numRef>
              <c:f>Sheet1!$W$2:$W$110</c:f>
              <c:numCache>
                <c:formatCode>General</c:formatCod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numCache>
            </c:numRef>
          </c:cat>
          <c:val>
            <c:numRef>
              <c:f>Sheet1!$X$2:$X$110</c:f>
              <c:numCache>
                <c:formatCode>#\ ##0.0000\ _€</c:formatCode>
                <c:ptCount val="109"/>
                <c:pt idx="0">
                  <c:v>0</c:v>
                </c:pt>
                <c:pt idx="1">
                  <c:v>0</c:v>
                </c:pt>
                <c:pt idx="2">
                  <c:v>-0.52669999999999995</c:v>
                </c:pt>
                <c:pt idx="3">
                  <c:v>-0.2732</c:v>
                </c:pt>
                <c:pt idx="4">
                  <c:v>0</c:v>
                </c:pt>
                <c:pt idx="5">
                  <c:v>-0.3382</c:v>
                </c:pt>
                <c:pt idx="6">
                  <c:v>2.58E-2</c:v>
                </c:pt>
                <c:pt idx="7">
                  <c:v>0.55740000000000001</c:v>
                </c:pt>
                <c:pt idx="8">
                  <c:v>-0.45739999999999997</c:v>
                </c:pt>
                <c:pt idx="9">
                  <c:v>0</c:v>
                </c:pt>
                <c:pt idx="10">
                  <c:v>0.45879999999999999</c:v>
                </c:pt>
                <c:pt idx="11">
                  <c:v>0.3382</c:v>
                </c:pt>
                <c:pt idx="12">
                  <c:v>-0.2263</c:v>
                </c:pt>
                <c:pt idx="13">
                  <c:v>0</c:v>
                </c:pt>
                <c:pt idx="14">
                  <c:v>0.35970000000000002</c:v>
                </c:pt>
                <c:pt idx="15">
                  <c:v>0.15110000000000001</c:v>
                </c:pt>
                <c:pt idx="16">
                  <c:v>-0.64759999999999995</c:v>
                </c:pt>
                <c:pt idx="17">
                  <c:v>0.29599999999999999</c:v>
                </c:pt>
                <c:pt idx="18">
                  <c:v>0</c:v>
                </c:pt>
                <c:pt idx="19">
                  <c:v>0</c:v>
                </c:pt>
                <c:pt idx="20">
                  <c:v>0</c:v>
                </c:pt>
                <c:pt idx="21">
                  <c:v>0</c:v>
                </c:pt>
                <c:pt idx="22">
                  <c:v>0.2263</c:v>
                </c:pt>
                <c:pt idx="23">
                  <c:v>0</c:v>
                </c:pt>
                <c:pt idx="24">
                  <c:v>0</c:v>
                </c:pt>
                <c:pt idx="25">
                  <c:v>0</c:v>
                </c:pt>
                <c:pt idx="26">
                  <c:v>0.80200000000000005</c:v>
                </c:pt>
                <c:pt idx="27">
                  <c:v>0.2263</c:v>
                </c:pt>
                <c:pt idx="28">
                  <c:v>0</c:v>
                </c:pt>
                <c:pt idx="29">
                  <c:v>0.50429999999999997</c:v>
                </c:pt>
                <c:pt idx="30">
                  <c:v>0</c:v>
                </c:pt>
                <c:pt idx="31">
                  <c:v>0.2263</c:v>
                </c:pt>
                <c:pt idx="32">
                  <c:v>-0.83160000000000001</c:v>
                </c:pt>
                <c:pt idx="33">
                  <c:v>0</c:v>
                </c:pt>
                <c:pt idx="34">
                  <c:v>0.70960000000000001</c:v>
                </c:pt>
                <c:pt idx="35">
                  <c:v>0.2263</c:v>
                </c:pt>
                <c:pt idx="36">
                  <c:v>0</c:v>
                </c:pt>
                <c:pt idx="37">
                  <c:v>0</c:v>
                </c:pt>
                <c:pt idx="38">
                  <c:v>0.34</c:v>
                </c:pt>
                <c:pt idx="39">
                  <c:v>0</c:v>
                </c:pt>
                <c:pt idx="40">
                  <c:v>0.2263</c:v>
                </c:pt>
                <c:pt idx="41">
                  <c:v>0.2263</c:v>
                </c:pt>
                <c:pt idx="42">
                  <c:v>0.20230000000000001</c:v>
                </c:pt>
                <c:pt idx="43">
                  <c:v>0</c:v>
                </c:pt>
                <c:pt idx="44">
                  <c:v>0.38179999999999997</c:v>
                </c:pt>
                <c:pt idx="45">
                  <c:v>0.2263</c:v>
                </c:pt>
                <c:pt idx="46">
                  <c:v>0</c:v>
                </c:pt>
                <c:pt idx="47">
                  <c:v>0.34</c:v>
                </c:pt>
                <c:pt idx="48">
                  <c:v>0.2263</c:v>
                </c:pt>
                <c:pt idx="49">
                  <c:v>0.36120000000000002</c:v>
                </c:pt>
                <c:pt idx="50">
                  <c:v>0.97199999999999998</c:v>
                </c:pt>
                <c:pt idx="51">
                  <c:v>0</c:v>
                </c:pt>
                <c:pt idx="52">
                  <c:v>0.2263</c:v>
                </c:pt>
                <c:pt idx="53">
                  <c:v>0</c:v>
                </c:pt>
                <c:pt idx="54">
                  <c:v>0.2263</c:v>
                </c:pt>
                <c:pt idx="55">
                  <c:v>0.2263</c:v>
                </c:pt>
                <c:pt idx="56">
                  <c:v>0</c:v>
                </c:pt>
                <c:pt idx="57">
                  <c:v>0.2263</c:v>
                </c:pt>
                <c:pt idx="58">
                  <c:v>-0.66620000000000001</c:v>
                </c:pt>
                <c:pt idx="59">
                  <c:v>-0.51060000000000005</c:v>
                </c:pt>
                <c:pt idx="60">
                  <c:v>0</c:v>
                </c:pt>
                <c:pt idx="61">
                  <c:v>0.55740000000000001</c:v>
                </c:pt>
                <c:pt idx="62">
                  <c:v>-0.68079999999999996</c:v>
                </c:pt>
                <c:pt idx="63">
                  <c:v>0.72589999999999999</c:v>
                </c:pt>
                <c:pt idx="64">
                  <c:v>0.2263</c:v>
                </c:pt>
                <c:pt idx="65">
                  <c:v>0</c:v>
                </c:pt>
                <c:pt idx="66">
                  <c:v>0.41839999999999999</c:v>
                </c:pt>
                <c:pt idx="67">
                  <c:v>0</c:v>
                </c:pt>
                <c:pt idx="68">
                  <c:v>2.58E-2</c:v>
                </c:pt>
                <c:pt idx="69">
                  <c:v>-0.58589999999999998</c:v>
                </c:pt>
                <c:pt idx="70">
                  <c:v>0.20230000000000001</c:v>
                </c:pt>
                <c:pt idx="71">
                  <c:v>0.29239999999999999</c:v>
                </c:pt>
                <c:pt idx="72">
                  <c:v>0</c:v>
                </c:pt>
                <c:pt idx="73">
                  <c:v>0.4929</c:v>
                </c:pt>
                <c:pt idx="74">
                  <c:v>0.41839999999999999</c:v>
                </c:pt>
                <c:pt idx="75">
                  <c:v>0</c:v>
                </c:pt>
                <c:pt idx="76">
                  <c:v>0.2263</c:v>
                </c:pt>
                <c:pt idx="77">
                  <c:v>0.2263</c:v>
                </c:pt>
                <c:pt idx="78">
                  <c:v>0</c:v>
                </c:pt>
                <c:pt idx="79">
                  <c:v>0.31819999999999998</c:v>
                </c:pt>
                <c:pt idx="80">
                  <c:v>0</c:v>
                </c:pt>
                <c:pt idx="81">
                  <c:v>0</c:v>
                </c:pt>
                <c:pt idx="82">
                  <c:v>0</c:v>
                </c:pt>
                <c:pt idx="83">
                  <c:v>0.65969999999999995</c:v>
                </c:pt>
                <c:pt idx="84">
                  <c:v>0</c:v>
                </c:pt>
                <c:pt idx="85">
                  <c:v>0.51060000000000005</c:v>
                </c:pt>
                <c:pt idx="86">
                  <c:v>0.5423</c:v>
                </c:pt>
                <c:pt idx="87">
                  <c:v>0.20230000000000001</c:v>
                </c:pt>
                <c:pt idx="88">
                  <c:v>0.31819999999999998</c:v>
                </c:pt>
                <c:pt idx="89">
                  <c:v>0.2263</c:v>
                </c:pt>
                <c:pt idx="90">
                  <c:v>0</c:v>
                </c:pt>
                <c:pt idx="91">
                  <c:v>0.20230000000000001</c:v>
                </c:pt>
                <c:pt idx="92">
                  <c:v>0</c:v>
                </c:pt>
                <c:pt idx="93">
                  <c:v>0.20230000000000001</c:v>
                </c:pt>
                <c:pt idx="94">
                  <c:v>0</c:v>
                </c:pt>
                <c:pt idx="95">
                  <c:v>-0.2732</c:v>
                </c:pt>
                <c:pt idx="96">
                  <c:v>0.20230000000000001</c:v>
                </c:pt>
                <c:pt idx="97">
                  <c:v>0.31819999999999998</c:v>
                </c:pt>
                <c:pt idx="98">
                  <c:v>-2.58E-2</c:v>
                </c:pt>
                <c:pt idx="99">
                  <c:v>0.38179999999999997</c:v>
                </c:pt>
                <c:pt idx="100">
                  <c:v>0.47239999999999999</c:v>
                </c:pt>
                <c:pt idx="101">
                  <c:v>0.90349999999999997</c:v>
                </c:pt>
                <c:pt idx="102">
                  <c:v>0.2732</c:v>
                </c:pt>
                <c:pt idx="103">
                  <c:v>0</c:v>
                </c:pt>
                <c:pt idx="104">
                  <c:v>-0.70650000000000002</c:v>
                </c:pt>
                <c:pt idx="105">
                  <c:v>0.90010000000000001</c:v>
                </c:pt>
                <c:pt idx="106">
                  <c:v>0</c:v>
                </c:pt>
                <c:pt idx="107">
                  <c:v>-0.4466</c:v>
                </c:pt>
                <c:pt idx="108">
                  <c:v>0.34</c:v>
                </c:pt>
              </c:numCache>
            </c:numRef>
          </c:val>
          <c:extLst>
            <c:ext xmlns:c16="http://schemas.microsoft.com/office/drawing/2014/chart" uri="{C3380CC4-5D6E-409C-BE32-E72D297353CC}">
              <c16:uniqueId val="{00000000-5F82-4D1D-8652-FED8F931FE1B}"/>
            </c:ext>
          </c:extLst>
        </c:ser>
        <c:ser>
          <c:idx val="1"/>
          <c:order val="1"/>
          <c:tx>
            <c:strRef>
              <c:f>Sheet1!$Y$1</c:f>
              <c:strCache>
                <c:ptCount val="1"/>
                <c:pt idx="0">
                  <c:v>PersonalMark</c:v>
                </c:pt>
              </c:strCache>
            </c:strRef>
          </c:tx>
          <c:spPr>
            <a:solidFill>
              <a:schemeClr val="accent2"/>
            </a:solidFill>
            <a:ln>
              <a:noFill/>
            </a:ln>
            <a:effectLst/>
            <a:sp3d/>
          </c:spPr>
          <c:invertIfNegative val="0"/>
          <c:cat>
            <c:numRef>
              <c:f>Sheet1!$W$2:$W$110</c:f>
              <c:numCache>
                <c:formatCode>General</c:formatCod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numCache>
            </c:numRef>
          </c:cat>
          <c:val>
            <c:numRef>
              <c:f>Sheet1!$Y$2:$Y$110</c:f>
              <c:numCache>
                <c:formatCode>#\ ##0.00000\ _€</c:formatCode>
                <c:ptCount val="109"/>
                <c:pt idx="0">
                  <c:v>0.11111111111111116</c:v>
                </c:pt>
                <c:pt idx="1">
                  <c:v>0.33333333333333326</c:v>
                </c:pt>
                <c:pt idx="2">
                  <c:v>-1</c:v>
                </c:pt>
                <c:pt idx="3">
                  <c:v>-0.33333333333333337</c:v>
                </c:pt>
                <c:pt idx="4">
                  <c:v>0.11111111111111116</c:v>
                </c:pt>
                <c:pt idx="5">
                  <c:v>0.11111111111111116</c:v>
                </c:pt>
                <c:pt idx="6">
                  <c:v>-0.33333333333333337</c:v>
                </c:pt>
                <c:pt idx="7">
                  <c:v>0.11111111111111116</c:v>
                </c:pt>
                <c:pt idx="8">
                  <c:v>-0.77777777777777779</c:v>
                </c:pt>
                <c:pt idx="9">
                  <c:v>0.11111111111111116</c:v>
                </c:pt>
                <c:pt idx="10">
                  <c:v>0.11111111111111116</c:v>
                </c:pt>
                <c:pt idx="11">
                  <c:v>1</c:v>
                </c:pt>
                <c:pt idx="12">
                  <c:v>0.55555555555555558</c:v>
                </c:pt>
                <c:pt idx="13">
                  <c:v>0.11111111111111116</c:v>
                </c:pt>
                <c:pt idx="14">
                  <c:v>0.55555555555555558</c:v>
                </c:pt>
                <c:pt idx="15">
                  <c:v>0.11111111111111116</c:v>
                </c:pt>
                <c:pt idx="16">
                  <c:v>-0.33333333333333337</c:v>
                </c:pt>
                <c:pt idx="17">
                  <c:v>0.11111111111111116</c:v>
                </c:pt>
                <c:pt idx="18">
                  <c:v>0.11111111111111116</c:v>
                </c:pt>
                <c:pt idx="19">
                  <c:v>0.33333333333333326</c:v>
                </c:pt>
                <c:pt idx="20">
                  <c:v>0.55555555555555558</c:v>
                </c:pt>
                <c:pt idx="21">
                  <c:v>0.11111111111111116</c:v>
                </c:pt>
                <c:pt idx="22">
                  <c:v>-0.11111111111111116</c:v>
                </c:pt>
                <c:pt idx="23">
                  <c:v>0.11111111111111116</c:v>
                </c:pt>
                <c:pt idx="24">
                  <c:v>-0.33333333333333337</c:v>
                </c:pt>
                <c:pt idx="25">
                  <c:v>-0.33333333333333337</c:v>
                </c:pt>
                <c:pt idx="26">
                  <c:v>0.33333333333333326</c:v>
                </c:pt>
                <c:pt idx="27">
                  <c:v>-0.11111111111111116</c:v>
                </c:pt>
                <c:pt idx="28">
                  <c:v>-0.33333333333333337</c:v>
                </c:pt>
                <c:pt idx="29">
                  <c:v>0.11111111111111116</c:v>
                </c:pt>
                <c:pt idx="30">
                  <c:v>0.33333333333333326</c:v>
                </c:pt>
                <c:pt idx="31">
                  <c:v>-0.11111111111111116</c:v>
                </c:pt>
                <c:pt idx="32">
                  <c:v>-0.55555555555555558</c:v>
                </c:pt>
                <c:pt idx="33">
                  <c:v>0.11111111111111116</c:v>
                </c:pt>
                <c:pt idx="34">
                  <c:v>0.11111111111111116</c:v>
                </c:pt>
                <c:pt idx="35">
                  <c:v>-0.11111111111111116</c:v>
                </c:pt>
                <c:pt idx="36">
                  <c:v>0.33333333333333326</c:v>
                </c:pt>
                <c:pt idx="37">
                  <c:v>0.11111111111111116</c:v>
                </c:pt>
                <c:pt idx="38">
                  <c:v>0.11111111111111116</c:v>
                </c:pt>
                <c:pt idx="39">
                  <c:v>0.11111111111111116</c:v>
                </c:pt>
                <c:pt idx="40">
                  <c:v>0.11111111111111116</c:v>
                </c:pt>
                <c:pt idx="41">
                  <c:v>-0.11111111111111116</c:v>
                </c:pt>
                <c:pt idx="42">
                  <c:v>0.11111111111111116</c:v>
                </c:pt>
                <c:pt idx="43">
                  <c:v>0.11111111111111116</c:v>
                </c:pt>
                <c:pt idx="44">
                  <c:v>0.33333333333333326</c:v>
                </c:pt>
                <c:pt idx="45">
                  <c:v>-0.11111111111111116</c:v>
                </c:pt>
                <c:pt idx="46">
                  <c:v>0.11111111111111116</c:v>
                </c:pt>
                <c:pt idx="47">
                  <c:v>0.11111111111111116</c:v>
                </c:pt>
                <c:pt idx="48">
                  <c:v>0.11111111111111116</c:v>
                </c:pt>
                <c:pt idx="49">
                  <c:v>0.55555555555555558</c:v>
                </c:pt>
                <c:pt idx="50">
                  <c:v>0.33333333333333326</c:v>
                </c:pt>
                <c:pt idx="51">
                  <c:v>0.33333333333333326</c:v>
                </c:pt>
                <c:pt idx="52">
                  <c:v>0.33333333333333326</c:v>
                </c:pt>
                <c:pt idx="53">
                  <c:v>0.11111111111111116</c:v>
                </c:pt>
                <c:pt idx="54">
                  <c:v>0.11111111111111116</c:v>
                </c:pt>
                <c:pt idx="55">
                  <c:v>0.11111111111111116</c:v>
                </c:pt>
                <c:pt idx="56">
                  <c:v>0.11111111111111116</c:v>
                </c:pt>
                <c:pt idx="57">
                  <c:v>0.11111111111111116</c:v>
                </c:pt>
                <c:pt idx="58">
                  <c:v>0.11111111111111116</c:v>
                </c:pt>
                <c:pt idx="59">
                  <c:v>0.33333333333333326</c:v>
                </c:pt>
                <c:pt idx="60">
                  <c:v>0.33333333333333326</c:v>
                </c:pt>
                <c:pt idx="61">
                  <c:v>0.11111111111111116</c:v>
                </c:pt>
                <c:pt idx="62">
                  <c:v>-0.11111111111111116</c:v>
                </c:pt>
                <c:pt idx="63">
                  <c:v>-0.33333333333333337</c:v>
                </c:pt>
                <c:pt idx="64">
                  <c:v>0.11111111111111116</c:v>
                </c:pt>
                <c:pt idx="65">
                  <c:v>0.11111111111111116</c:v>
                </c:pt>
                <c:pt idx="66">
                  <c:v>0.55555555555555558</c:v>
                </c:pt>
                <c:pt idx="67">
                  <c:v>0.33333333333333326</c:v>
                </c:pt>
                <c:pt idx="68">
                  <c:v>0.33333333333333326</c:v>
                </c:pt>
                <c:pt idx="69">
                  <c:v>-0.33333333333333337</c:v>
                </c:pt>
                <c:pt idx="70">
                  <c:v>0.11111111111111116</c:v>
                </c:pt>
                <c:pt idx="71">
                  <c:v>0.77777777777777768</c:v>
                </c:pt>
                <c:pt idx="72">
                  <c:v>0.33333333333333326</c:v>
                </c:pt>
                <c:pt idx="73">
                  <c:v>0.11111111111111116</c:v>
                </c:pt>
                <c:pt idx="74">
                  <c:v>0.33333333333333326</c:v>
                </c:pt>
                <c:pt idx="75">
                  <c:v>0.11111111111111116</c:v>
                </c:pt>
                <c:pt idx="76">
                  <c:v>0.11111111111111116</c:v>
                </c:pt>
                <c:pt idx="77">
                  <c:v>0.11111111111111116</c:v>
                </c:pt>
                <c:pt idx="78">
                  <c:v>0.11111111111111116</c:v>
                </c:pt>
                <c:pt idx="79">
                  <c:v>0.77777777777777768</c:v>
                </c:pt>
                <c:pt idx="80">
                  <c:v>0.33333333333333326</c:v>
                </c:pt>
                <c:pt idx="81">
                  <c:v>0.11111111111111116</c:v>
                </c:pt>
                <c:pt idx="82">
                  <c:v>0.33333333333333326</c:v>
                </c:pt>
                <c:pt idx="83">
                  <c:v>0.11111111111111116</c:v>
                </c:pt>
                <c:pt idx="84">
                  <c:v>0.11111111111111116</c:v>
                </c:pt>
                <c:pt idx="85">
                  <c:v>0.11111111111111116</c:v>
                </c:pt>
                <c:pt idx="86">
                  <c:v>0.11111111111111116</c:v>
                </c:pt>
                <c:pt idx="87">
                  <c:v>0.11111111111111116</c:v>
                </c:pt>
                <c:pt idx="88">
                  <c:v>0.55555555555555558</c:v>
                </c:pt>
                <c:pt idx="89">
                  <c:v>0.11111111111111116</c:v>
                </c:pt>
                <c:pt idx="90">
                  <c:v>0.33333333333333326</c:v>
                </c:pt>
                <c:pt idx="91">
                  <c:v>0.11111111111111116</c:v>
                </c:pt>
                <c:pt idx="92">
                  <c:v>0.11111111111111116</c:v>
                </c:pt>
                <c:pt idx="93">
                  <c:v>-0.11111111111111116</c:v>
                </c:pt>
                <c:pt idx="94">
                  <c:v>0.11111111111111116</c:v>
                </c:pt>
                <c:pt idx="95">
                  <c:v>0.11111111111111116</c:v>
                </c:pt>
                <c:pt idx="96">
                  <c:v>0.11111111111111116</c:v>
                </c:pt>
                <c:pt idx="97">
                  <c:v>0.11111111111111116</c:v>
                </c:pt>
                <c:pt idx="98">
                  <c:v>-0.11111111111111116</c:v>
                </c:pt>
                <c:pt idx="99">
                  <c:v>0.55555555555555558</c:v>
                </c:pt>
                <c:pt idx="100">
                  <c:v>0.11111111111111116</c:v>
                </c:pt>
                <c:pt idx="101">
                  <c:v>0.11111111111111116</c:v>
                </c:pt>
                <c:pt idx="102">
                  <c:v>0.33333333333333326</c:v>
                </c:pt>
                <c:pt idx="103">
                  <c:v>0.33333333333333326</c:v>
                </c:pt>
                <c:pt idx="104">
                  <c:v>-0.11111111111111116</c:v>
                </c:pt>
                <c:pt idx="105">
                  <c:v>0.33333333333333326</c:v>
                </c:pt>
                <c:pt idx="106">
                  <c:v>0.11111111111111116</c:v>
                </c:pt>
                <c:pt idx="107">
                  <c:v>-0.33333333333333337</c:v>
                </c:pt>
                <c:pt idx="108">
                  <c:v>0.11111111111111116</c:v>
                </c:pt>
              </c:numCache>
            </c:numRef>
          </c:val>
          <c:extLst>
            <c:ext xmlns:c16="http://schemas.microsoft.com/office/drawing/2014/chart" uri="{C3380CC4-5D6E-409C-BE32-E72D297353CC}">
              <c16:uniqueId val="{00000001-5F82-4D1D-8652-FED8F931FE1B}"/>
            </c:ext>
          </c:extLst>
        </c:ser>
        <c:dLbls>
          <c:showLegendKey val="0"/>
          <c:showVal val="0"/>
          <c:showCatName val="0"/>
          <c:showSerName val="0"/>
          <c:showPercent val="0"/>
          <c:showBubbleSize val="0"/>
        </c:dLbls>
        <c:gapWidth val="150"/>
        <c:shape val="box"/>
        <c:axId val="910558072"/>
        <c:axId val="910558712"/>
        <c:axId val="0"/>
      </c:bar3DChart>
      <c:catAx>
        <c:axId val="910558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k-SK"/>
          </a:p>
        </c:txPr>
        <c:crossAx val="910558712"/>
        <c:crosses val="autoZero"/>
        <c:auto val="1"/>
        <c:lblAlgn val="ctr"/>
        <c:lblOffset val="100"/>
        <c:noMultiLvlLbl val="0"/>
      </c:catAx>
      <c:valAx>
        <c:axId val="910558712"/>
        <c:scaling>
          <c:orientation val="minMax"/>
        </c:scaling>
        <c:delete val="0"/>
        <c:axPos val="l"/>
        <c:majorGridlines>
          <c:spPr>
            <a:ln w="9525" cap="flat" cmpd="sng" algn="ctr">
              <a:solidFill>
                <a:schemeClr val="tx1">
                  <a:lumMod val="15000"/>
                  <a:lumOff val="85000"/>
                </a:schemeClr>
              </a:solidFill>
              <a:round/>
            </a:ln>
            <a:effectLst/>
          </c:spPr>
        </c:majorGridlines>
        <c:numFmt formatCode="#\ ##0.0000\ 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k-SK"/>
          </a:p>
        </c:txPr>
        <c:crossAx val="910558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k-S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k-S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25</xdr:col>
      <xdr:colOff>593035</xdr:colOff>
      <xdr:row>82</xdr:row>
      <xdr:rowOff>178668</xdr:rowOff>
    </xdr:from>
    <xdr:to>
      <xdr:col>33</xdr:col>
      <xdr:colOff>261731</xdr:colOff>
      <xdr:row>97</xdr:row>
      <xdr:rowOff>64368</xdr:rowOff>
    </xdr:to>
    <xdr:graphicFrame macro="">
      <xdr:nvGraphicFramePr>
        <xdr:cNvPr id="5" name="Chart 4">
          <a:extLst>
            <a:ext uri="{FF2B5EF4-FFF2-40B4-BE49-F238E27FC236}">
              <a16:creationId xmlns:a16="http://schemas.microsoft.com/office/drawing/2014/main" id="{B2DDF7C1-FAFA-42D4-9EAB-3D5CD3A6B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6"/>
  <sheetViews>
    <sheetView tabSelected="1" topLeftCell="R82" zoomScale="175" zoomScaleNormal="175" workbookViewId="0">
      <selection activeCell="Z86" sqref="Z86"/>
    </sheetView>
  </sheetViews>
  <sheetFormatPr defaultRowHeight="15" x14ac:dyDescent="0.25"/>
  <cols>
    <col min="3" max="3" width="11.7109375" customWidth="1"/>
    <col min="8" max="10" width="42.140625" customWidth="1"/>
    <col min="11" max="11" width="149.140625" customWidth="1"/>
    <col min="13" max="13" width="255.140625" customWidth="1"/>
    <col min="14" max="17" width="15.140625" customWidth="1"/>
    <col min="24" max="24" width="17.85546875" customWidth="1"/>
    <col min="25" max="25" width="16.85546875" customWidth="1"/>
  </cols>
  <sheetData>
    <row r="1" spans="1:25" x14ac:dyDescent="0.25">
      <c r="A1" s="5" t="s">
        <v>405</v>
      </c>
      <c r="B1" s="6" t="s">
        <v>406</v>
      </c>
      <c r="C1" s="6" t="s">
        <v>407</v>
      </c>
      <c r="D1" s="6" t="s">
        <v>408</v>
      </c>
      <c r="E1" s="6" t="s">
        <v>409</v>
      </c>
      <c r="F1" s="6" t="s">
        <v>410</v>
      </c>
      <c r="G1" s="6" t="s">
        <v>411</v>
      </c>
      <c r="H1" s="6" t="s">
        <v>412</v>
      </c>
      <c r="I1" s="6"/>
      <c r="J1" s="6" t="s">
        <v>464</v>
      </c>
      <c r="K1" s="6" t="s">
        <v>413</v>
      </c>
      <c r="L1" s="6" t="s">
        <v>414</v>
      </c>
      <c r="M1" s="6" t="s">
        <v>415</v>
      </c>
      <c r="N1" s="6" t="s">
        <v>416</v>
      </c>
      <c r="O1" s="6" t="s">
        <v>417</v>
      </c>
      <c r="P1" s="6" t="s">
        <v>418</v>
      </c>
      <c r="Q1" s="7" t="s">
        <v>419</v>
      </c>
      <c r="X1" t="s">
        <v>467</v>
      </c>
      <c r="Y1" t="s">
        <v>468</v>
      </c>
    </row>
    <row r="2" spans="1:25" x14ac:dyDescent="0.25">
      <c r="A2" s="1" t="s">
        <v>0</v>
      </c>
      <c r="B2" s="2">
        <v>1.1103305124706181E+18</v>
      </c>
      <c r="C2" s="2">
        <v>1.1050918376589107E+18</v>
      </c>
      <c r="D2" s="2">
        <v>49</v>
      </c>
      <c r="E2" s="2">
        <v>522</v>
      </c>
      <c r="F2" s="2">
        <v>508</v>
      </c>
      <c r="G2" s="2">
        <v>510</v>
      </c>
      <c r="H2" s="2" t="s">
        <v>1</v>
      </c>
      <c r="I2" s="2">
        <f>(((J2-$B$115)/($B$116-$B$115))*2)-1</f>
        <v>0.11111111111111116</v>
      </c>
      <c r="J2" s="2">
        <v>0</v>
      </c>
      <c r="K2" s="2" t="s">
        <v>2</v>
      </c>
      <c r="L2" s="2" t="b">
        <v>0</v>
      </c>
      <c r="M2" s="2" t="s">
        <v>3</v>
      </c>
      <c r="N2" s="2" t="s">
        <v>4</v>
      </c>
      <c r="O2" s="2" t="s">
        <v>5</v>
      </c>
      <c r="P2" s="2" t="s">
        <v>4</v>
      </c>
      <c r="Q2" s="8" t="s">
        <v>4</v>
      </c>
      <c r="W2">
        <v>1</v>
      </c>
      <c r="X2" s="10">
        <v>0</v>
      </c>
      <c r="Y2" s="12">
        <v>0.11111111111111116</v>
      </c>
    </row>
    <row r="3" spans="1:25" x14ac:dyDescent="0.25">
      <c r="A3" s="3" t="s">
        <v>6</v>
      </c>
      <c r="B3" s="4">
        <v>1.1103305183217091E+18</v>
      </c>
      <c r="C3" s="4">
        <v>9.8363786840820122E+17</v>
      </c>
      <c r="D3" s="4">
        <v>221</v>
      </c>
      <c r="E3" s="4">
        <v>836</v>
      </c>
      <c r="F3" s="4">
        <v>94</v>
      </c>
      <c r="G3" s="4">
        <v>166</v>
      </c>
      <c r="H3" s="4" t="s">
        <v>7</v>
      </c>
      <c r="I3" s="2">
        <f t="shared" ref="I3:I66" si="0">(((J3-$B$115)/($B$116-$B$115))*2)-1</f>
        <v>0.33333333333333326</v>
      </c>
      <c r="J3" s="4">
        <v>1</v>
      </c>
      <c r="K3" s="4" t="s">
        <v>8</v>
      </c>
      <c r="L3" s="4" t="b">
        <v>0</v>
      </c>
      <c r="M3" s="4" t="s">
        <v>3</v>
      </c>
      <c r="N3" s="4" t="s">
        <v>4</v>
      </c>
      <c r="O3" s="4" t="s">
        <v>5</v>
      </c>
      <c r="P3" s="4" t="s">
        <v>4</v>
      </c>
      <c r="Q3" s="9" t="s">
        <v>4</v>
      </c>
      <c r="W3">
        <v>2</v>
      </c>
      <c r="X3" s="11">
        <v>0</v>
      </c>
      <c r="Y3" s="12">
        <v>0.33333333333333326</v>
      </c>
    </row>
    <row r="4" spans="1:25" x14ac:dyDescent="0.25">
      <c r="A4" s="1" t="s">
        <v>6</v>
      </c>
      <c r="B4" s="2">
        <v>1.1103305191857521E+18</v>
      </c>
      <c r="C4" s="2">
        <v>3042219790</v>
      </c>
      <c r="D4" s="2">
        <v>348</v>
      </c>
      <c r="E4" s="2">
        <v>705</v>
      </c>
      <c r="F4" s="2">
        <v>1364</v>
      </c>
      <c r="G4" s="2">
        <v>627</v>
      </c>
      <c r="H4" s="2" t="s">
        <v>9</v>
      </c>
      <c r="I4" s="2">
        <f t="shared" si="0"/>
        <v>-1</v>
      </c>
      <c r="J4" s="2">
        <v>-5</v>
      </c>
      <c r="K4" s="2" t="s">
        <v>10</v>
      </c>
      <c r="L4" s="2" t="b">
        <v>0</v>
      </c>
      <c r="M4" s="2" t="s">
        <v>3</v>
      </c>
      <c r="N4" s="2" t="s">
        <v>11</v>
      </c>
      <c r="O4" s="2" t="s">
        <v>12</v>
      </c>
      <c r="P4" s="2" t="s">
        <v>13</v>
      </c>
      <c r="Q4" s="8" t="s">
        <v>14</v>
      </c>
      <c r="W4">
        <v>3</v>
      </c>
      <c r="X4" s="10">
        <v>-0.52669999999999995</v>
      </c>
      <c r="Y4" s="12">
        <v>-1</v>
      </c>
    </row>
    <row r="5" spans="1:25" x14ac:dyDescent="0.25">
      <c r="A5" s="3" t="s">
        <v>15</v>
      </c>
      <c r="B5" s="4">
        <v>1.1103305226418545E+18</v>
      </c>
      <c r="C5" s="4">
        <v>9.4648177372632678E+17</v>
      </c>
      <c r="D5" s="4">
        <v>337</v>
      </c>
      <c r="E5" s="4">
        <v>726</v>
      </c>
      <c r="F5" s="4">
        <v>19</v>
      </c>
      <c r="G5" s="4">
        <v>29418</v>
      </c>
      <c r="H5" s="4" t="s">
        <v>16</v>
      </c>
      <c r="I5" s="2">
        <f t="shared" si="0"/>
        <v>-0.33333333333333337</v>
      </c>
      <c r="J5" s="4">
        <v>-2</v>
      </c>
      <c r="K5" s="4" t="s">
        <v>17</v>
      </c>
      <c r="L5" s="4" t="b">
        <v>0</v>
      </c>
      <c r="M5" s="4" t="s">
        <v>18</v>
      </c>
      <c r="N5" s="4" t="s">
        <v>19</v>
      </c>
      <c r="O5" s="4" t="s">
        <v>20</v>
      </c>
      <c r="P5" s="4" t="s">
        <v>4</v>
      </c>
      <c r="Q5" s="9" t="s">
        <v>21</v>
      </c>
      <c r="W5">
        <v>4</v>
      </c>
      <c r="X5" s="11">
        <v>-0.2732</v>
      </c>
      <c r="Y5" s="12">
        <v>-0.33333333333333337</v>
      </c>
    </row>
    <row r="6" spans="1:25" x14ac:dyDescent="0.25">
      <c r="A6" s="1" t="s">
        <v>15</v>
      </c>
      <c r="B6" s="2">
        <v>1.1103305227844608E+18</v>
      </c>
      <c r="C6" s="2">
        <v>9.5128658308436378E+17</v>
      </c>
      <c r="D6" s="2">
        <v>1603</v>
      </c>
      <c r="E6" s="2">
        <v>3626</v>
      </c>
      <c r="F6" s="2">
        <v>11</v>
      </c>
      <c r="G6" s="2">
        <v>3249</v>
      </c>
      <c r="H6" s="2" t="s">
        <v>22</v>
      </c>
      <c r="I6" s="2">
        <f t="shared" si="0"/>
        <v>0.11111111111111116</v>
      </c>
      <c r="J6" s="2">
        <v>0</v>
      </c>
      <c r="K6" s="2" t="s">
        <v>23</v>
      </c>
      <c r="L6" s="2" t="b">
        <v>0</v>
      </c>
      <c r="M6" s="2" t="s">
        <v>3</v>
      </c>
      <c r="N6" s="2" t="s">
        <v>4</v>
      </c>
      <c r="O6" s="2" t="s">
        <v>5</v>
      </c>
      <c r="P6" s="2" t="s">
        <v>4</v>
      </c>
      <c r="Q6" s="8" t="s">
        <v>4</v>
      </c>
      <c r="W6">
        <v>5</v>
      </c>
      <c r="X6" s="10">
        <v>0</v>
      </c>
      <c r="Y6" s="12">
        <v>0.11111111111111116</v>
      </c>
    </row>
    <row r="7" spans="1:25" x14ac:dyDescent="0.25">
      <c r="A7" s="3" t="s">
        <v>15</v>
      </c>
      <c r="B7" s="4">
        <v>1.1103305230444544E+18</v>
      </c>
      <c r="C7" s="4">
        <v>4814488643</v>
      </c>
      <c r="D7" s="4">
        <v>20</v>
      </c>
      <c r="E7" s="4">
        <v>10</v>
      </c>
      <c r="F7" s="4">
        <v>439</v>
      </c>
      <c r="G7" s="4">
        <v>624</v>
      </c>
      <c r="H7" s="4" t="s">
        <v>24</v>
      </c>
      <c r="I7" s="2">
        <f t="shared" si="0"/>
        <v>0.11111111111111116</v>
      </c>
      <c r="J7" s="4">
        <v>0</v>
      </c>
      <c r="K7" s="4" t="s">
        <v>25</v>
      </c>
      <c r="L7" s="4" t="b">
        <v>0</v>
      </c>
      <c r="M7" s="4" t="s">
        <v>26</v>
      </c>
      <c r="N7" s="4" t="s">
        <v>27</v>
      </c>
      <c r="O7" s="4" t="s">
        <v>28</v>
      </c>
      <c r="P7" s="4" t="s">
        <v>4</v>
      </c>
      <c r="Q7" s="9" t="s">
        <v>29</v>
      </c>
      <c r="W7">
        <v>6</v>
      </c>
      <c r="X7" s="11">
        <v>-0.3382</v>
      </c>
      <c r="Y7" s="12">
        <v>0.11111111111111116</v>
      </c>
    </row>
    <row r="8" spans="1:25" x14ac:dyDescent="0.25">
      <c r="A8" s="1" t="s">
        <v>15</v>
      </c>
      <c r="B8" s="2">
        <v>1.1103305234303877E+18</v>
      </c>
      <c r="C8" s="2">
        <v>4860635361</v>
      </c>
      <c r="D8" s="2">
        <v>65728</v>
      </c>
      <c r="E8" s="2">
        <v>761</v>
      </c>
      <c r="F8" s="2">
        <v>12235</v>
      </c>
      <c r="G8" s="2">
        <v>73</v>
      </c>
      <c r="H8" s="2" t="s">
        <v>30</v>
      </c>
      <c r="I8" s="2">
        <f t="shared" si="0"/>
        <v>-0.33333333333333337</v>
      </c>
      <c r="J8" s="2">
        <v>-2</v>
      </c>
      <c r="K8" s="2" t="s">
        <v>31</v>
      </c>
      <c r="L8" s="2" t="b">
        <v>0</v>
      </c>
      <c r="M8" s="2" t="s">
        <v>32</v>
      </c>
      <c r="N8" s="2" t="s">
        <v>33</v>
      </c>
      <c r="O8" s="2" t="s">
        <v>34</v>
      </c>
      <c r="P8" s="2" t="s">
        <v>35</v>
      </c>
      <c r="Q8" s="8" t="s">
        <v>36</v>
      </c>
      <c r="W8">
        <v>7</v>
      </c>
      <c r="X8" s="10">
        <v>2.58E-2</v>
      </c>
      <c r="Y8" s="12">
        <v>-0.33333333333333337</v>
      </c>
    </row>
    <row r="9" spans="1:25" x14ac:dyDescent="0.25">
      <c r="A9" s="3" t="s">
        <v>15</v>
      </c>
      <c r="B9" s="4">
        <v>1.1103305237448991E+18</v>
      </c>
      <c r="C9" s="4">
        <v>252751061</v>
      </c>
      <c r="D9" s="4">
        <v>642029</v>
      </c>
      <c r="E9" s="4">
        <v>1191</v>
      </c>
      <c r="F9" s="4">
        <v>709</v>
      </c>
      <c r="G9" s="4">
        <v>124749</v>
      </c>
      <c r="H9" s="4" t="s">
        <v>37</v>
      </c>
      <c r="I9" s="2">
        <f t="shared" si="0"/>
        <v>0.11111111111111116</v>
      </c>
      <c r="J9" s="4">
        <v>0</v>
      </c>
      <c r="K9" s="4" t="s">
        <v>38</v>
      </c>
      <c r="L9" s="4" t="b">
        <v>0</v>
      </c>
      <c r="M9" s="4" t="s">
        <v>3</v>
      </c>
      <c r="N9" s="4" t="s">
        <v>4</v>
      </c>
      <c r="O9" s="4" t="s">
        <v>39</v>
      </c>
      <c r="P9" s="4" t="s">
        <v>40</v>
      </c>
      <c r="Q9" s="9" t="s">
        <v>41</v>
      </c>
      <c r="W9">
        <v>8</v>
      </c>
      <c r="X9" s="11">
        <v>0.55740000000000001</v>
      </c>
      <c r="Y9" s="12">
        <v>0.11111111111111116</v>
      </c>
    </row>
    <row r="10" spans="1:25" x14ac:dyDescent="0.25">
      <c r="A10" s="1" t="s">
        <v>15</v>
      </c>
      <c r="B10" s="2">
        <v>1.1103305241602171E+18</v>
      </c>
      <c r="C10" s="2">
        <v>208688374</v>
      </c>
      <c r="D10" s="2">
        <v>1407</v>
      </c>
      <c r="E10" s="2">
        <v>647</v>
      </c>
      <c r="F10" s="2">
        <v>50932</v>
      </c>
      <c r="G10" s="2">
        <v>33211</v>
      </c>
      <c r="H10" s="2" t="s">
        <v>42</v>
      </c>
      <c r="I10" s="2">
        <f t="shared" si="0"/>
        <v>-0.77777777777777779</v>
      </c>
      <c r="J10" s="2">
        <v>-4</v>
      </c>
      <c r="K10" s="2" t="s">
        <v>43</v>
      </c>
      <c r="L10" s="2" t="b">
        <v>0</v>
      </c>
      <c r="M10" s="2" t="s">
        <v>44</v>
      </c>
      <c r="N10" s="2" t="s">
        <v>45</v>
      </c>
      <c r="O10" s="2" t="s">
        <v>46</v>
      </c>
      <c r="P10" s="2" t="s">
        <v>4</v>
      </c>
      <c r="Q10" s="8" t="s">
        <v>47</v>
      </c>
      <c r="W10">
        <v>9</v>
      </c>
      <c r="X10" s="10">
        <v>-0.45739999999999997</v>
      </c>
      <c r="Y10" s="12">
        <v>-0.77777777777777779</v>
      </c>
    </row>
    <row r="11" spans="1:25" x14ac:dyDescent="0.25">
      <c r="A11" s="3" t="s">
        <v>15</v>
      </c>
      <c r="B11" s="4">
        <v>1.1103305246592737E+18</v>
      </c>
      <c r="C11" s="4">
        <v>8.7223444549924454E+17</v>
      </c>
      <c r="D11" s="4">
        <v>260</v>
      </c>
      <c r="E11" s="4">
        <v>2</v>
      </c>
      <c r="F11" s="4">
        <v>2</v>
      </c>
      <c r="G11" s="4">
        <v>62729</v>
      </c>
      <c r="H11" s="4" t="s">
        <v>48</v>
      </c>
      <c r="I11" s="2">
        <f t="shared" si="0"/>
        <v>0.11111111111111116</v>
      </c>
      <c r="J11" s="4">
        <v>0</v>
      </c>
      <c r="K11" s="4" t="s">
        <v>49</v>
      </c>
      <c r="L11" s="4" t="b">
        <v>0</v>
      </c>
      <c r="M11" s="4" t="s">
        <v>3</v>
      </c>
      <c r="N11" s="4" t="s">
        <v>4</v>
      </c>
      <c r="O11" s="4" t="s">
        <v>5</v>
      </c>
      <c r="P11" s="4" t="s">
        <v>4</v>
      </c>
      <c r="Q11" s="9" t="s">
        <v>4</v>
      </c>
      <c r="W11">
        <v>10</v>
      </c>
      <c r="X11" s="11">
        <v>0</v>
      </c>
      <c r="Y11" s="12">
        <v>0.11111111111111116</v>
      </c>
    </row>
    <row r="12" spans="1:25" x14ac:dyDescent="0.25">
      <c r="A12" s="1" t="s">
        <v>15</v>
      </c>
      <c r="B12" s="2">
        <v>1.1103305253261681E+18</v>
      </c>
      <c r="C12" s="2">
        <v>9.3906387589022106E+17</v>
      </c>
      <c r="D12" s="2">
        <v>266</v>
      </c>
      <c r="E12" s="2">
        <v>999</v>
      </c>
      <c r="F12" s="2">
        <v>7</v>
      </c>
      <c r="G12" s="2">
        <v>1365</v>
      </c>
      <c r="H12" s="2" t="s">
        <v>50</v>
      </c>
      <c r="I12" s="2">
        <f t="shared" si="0"/>
        <v>0.11111111111111116</v>
      </c>
      <c r="J12" s="2">
        <v>0</v>
      </c>
      <c r="K12" s="2" t="s">
        <v>51</v>
      </c>
      <c r="L12" s="2" t="b">
        <v>0</v>
      </c>
      <c r="M12" s="2" t="s">
        <v>3</v>
      </c>
      <c r="N12" s="2" t="s">
        <v>4</v>
      </c>
      <c r="O12" s="2" t="s">
        <v>52</v>
      </c>
      <c r="P12" s="2" t="s">
        <v>53</v>
      </c>
      <c r="Q12" s="8" t="s">
        <v>54</v>
      </c>
      <c r="W12">
        <v>11</v>
      </c>
      <c r="X12" s="10">
        <v>0.45879999999999999</v>
      </c>
      <c r="Y12" s="12">
        <v>0.11111111111111116</v>
      </c>
    </row>
    <row r="13" spans="1:25" x14ac:dyDescent="0.25">
      <c r="A13" s="3" t="s">
        <v>55</v>
      </c>
      <c r="B13" s="4">
        <v>1.110330527716991E+18</v>
      </c>
      <c r="C13" s="4">
        <v>8.9709097109092762E+17</v>
      </c>
      <c r="D13" s="4">
        <v>437</v>
      </c>
      <c r="E13" s="4">
        <v>12</v>
      </c>
      <c r="F13" s="4">
        <v>15</v>
      </c>
      <c r="G13" s="4">
        <v>18849</v>
      </c>
      <c r="H13" s="4" t="s">
        <v>56</v>
      </c>
      <c r="I13" s="2">
        <f t="shared" si="0"/>
        <v>1</v>
      </c>
      <c r="J13" s="4">
        <v>4</v>
      </c>
      <c r="K13" s="4" t="s">
        <v>57</v>
      </c>
      <c r="L13" s="4" t="b">
        <v>0</v>
      </c>
      <c r="M13" s="4" t="s">
        <v>3</v>
      </c>
      <c r="N13" s="4" t="s">
        <v>4</v>
      </c>
      <c r="O13" s="4" t="s">
        <v>58</v>
      </c>
      <c r="P13" s="4" t="s">
        <v>59</v>
      </c>
      <c r="Q13" s="9" t="s">
        <v>60</v>
      </c>
      <c r="W13">
        <v>12</v>
      </c>
      <c r="X13" s="11">
        <v>0.3382</v>
      </c>
      <c r="Y13" s="12">
        <v>1</v>
      </c>
    </row>
    <row r="14" spans="1:25" x14ac:dyDescent="0.25">
      <c r="A14" s="1" t="s">
        <v>55</v>
      </c>
      <c r="B14" s="2">
        <v>1.1103305285432648E+18</v>
      </c>
      <c r="C14" s="2">
        <v>324714133</v>
      </c>
      <c r="D14" s="2">
        <v>13299</v>
      </c>
      <c r="E14" s="2">
        <v>7904</v>
      </c>
      <c r="F14" s="2">
        <v>40965</v>
      </c>
      <c r="G14" s="2">
        <v>55351</v>
      </c>
      <c r="H14" s="2" t="s">
        <v>61</v>
      </c>
      <c r="I14" s="2">
        <f t="shared" si="0"/>
        <v>0.55555555555555558</v>
      </c>
      <c r="J14" s="2">
        <v>2</v>
      </c>
      <c r="K14" s="2" t="s">
        <v>62</v>
      </c>
      <c r="L14" s="2" t="b">
        <v>0</v>
      </c>
      <c r="M14" s="2" t="s">
        <v>63</v>
      </c>
      <c r="N14" s="2" t="s">
        <v>64</v>
      </c>
      <c r="O14" s="2" t="s">
        <v>65</v>
      </c>
      <c r="P14" s="2" t="s">
        <v>66</v>
      </c>
      <c r="Q14" s="8" t="s">
        <v>67</v>
      </c>
      <c r="W14">
        <v>13</v>
      </c>
      <c r="X14" s="10">
        <v>-0.2263</v>
      </c>
      <c r="Y14" s="12">
        <v>0.55555555555555558</v>
      </c>
    </row>
    <row r="15" spans="1:25" x14ac:dyDescent="0.25">
      <c r="A15" s="3" t="s">
        <v>55</v>
      </c>
      <c r="B15" s="4">
        <v>1.1103305289710141E+18</v>
      </c>
      <c r="C15" s="4">
        <v>8.8582936122775962E+17</v>
      </c>
      <c r="D15" s="4">
        <v>418</v>
      </c>
      <c r="E15" s="4">
        <v>106</v>
      </c>
      <c r="F15" s="4">
        <v>166</v>
      </c>
      <c r="G15" s="4">
        <v>15884</v>
      </c>
      <c r="H15" s="4" t="s">
        <v>68</v>
      </c>
      <c r="I15" s="2">
        <f t="shared" si="0"/>
        <v>0.11111111111111116</v>
      </c>
      <c r="J15" s="4">
        <v>0</v>
      </c>
      <c r="K15" s="4" t="s">
        <v>69</v>
      </c>
      <c r="L15" s="4" t="b">
        <v>0</v>
      </c>
      <c r="M15" s="4" t="s">
        <v>70</v>
      </c>
      <c r="N15" s="4" t="s">
        <v>4</v>
      </c>
      <c r="O15" s="4" t="s">
        <v>5</v>
      </c>
      <c r="P15" s="4" t="s">
        <v>4</v>
      </c>
      <c r="Q15" s="9" t="s">
        <v>4</v>
      </c>
      <c r="W15">
        <v>14</v>
      </c>
      <c r="X15" s="11">
        <v>0</v>
      </c>
      <c r="Y15" s="12">
        <v>0.11111111111111116</v>
      </c>
    </row>
    <row r="16" spans="1:25" x14ac:dyDescent="0.25">
      <c r="A16" s="1" t="s">
        <v>55</v>
      </c>
      <c r="B16" s="2">
        <v>1.1103305283503022E+18</v>
      </c>
      <c r="C16" s="2">
        <v>252785226</v>
      </c>
      <c r="D16" s="2">
        <v>14255</v>
      </c>
      <c r="E16" s="2">
        <v>1876</v>
      </c>
      <c r="F16" s="2">
        <v>1489</v>
      </c>
      <c r="G16" s="2">
        <v>9776</v>
      </c>
      <c r="H16" s="2" t="s">
        <v>71</v>
      </c>
      <c r="I16" s="2">
        <f t="shared" si="0"/>
        <v>0.55555555555555558</v>
      </c>
      <c r="J16" s="2">
        <v>2</v>
      </c>
      <c r="K16" s="2" t="s">
        <v>72</v>
      </c>
      <c r="L16" s="2" t="b">
        <v>0</v>
      </c>
      <c r="M16" s="2" t="s">
        <v>73</v>
      </c>
      <c r="N16" s="2" t="s">
        <v>4</v>
      </c>
      <c r="O16" s="2" t="s">
        <v>74</v>
      </c>
      <c r="P16" s="2" t="s">
        <v>75</v>
      </c>
      <c r="Q16" s="8" t="s">
        <v>76</v>
      </c>
      <c r="W16">
        <v>15</v>
      </c>
      <c r="X16" s="10">
        <v>0.35970000000000002</v>
      </c>
      <c r="Y16" s="12">
        <v>0.55555555555555558</v>
      </c>
    </row>
    <row r="17" spans="1:25" x14ac:dyDescent="0.25">
      <c r="A17" s="3" t="s">
        <v>55</v>
      </c>
      <c r="B17" s="4">
        <v>1.1103305295203492E+18</v>
      </c>
      <c r="C17" s="4">
        <v>1.00084486573389E+18</v>
      </c>
      <c r="D17" s="4">
        <v>131</v>
      </c>
      <c r="E17" s="4">
        <v>779</v>
      </c>
      <c r="F17" s="4">
        <v>86</v>
      </c>
      <c r="G17" s="4">
        <v>940</v>
      </c>
      <c r="H17" s="4" t="s">
        <v>77</v>
      </c>
      <c r="I17" s="2">
        <f t="shared" si="0"/>
        <v>0.11111111111111116</v>
      </c>
      <c r="J17" s="4">
        <v>0</v>
      </c>
      <c r="K17" s="4" t="s">
        <v>78</v>
      </c>
      <c r="L17" s="4" t="b">
        <v>0</v>
      </c>
      <c r="M17" s="4" t="s">
        <v>79</v>
      </c>
      <c r="N17" s="4" t="s">
        <v>4</v>
      </c>
      <c r="O17" s="4" t="s">
        <v>28</v>
      </c>
      <c r="P17" s="4" t="s">
        <v>27</v>
      </c>
      <c r="Q17" s="9" t="s">
        <v>80</v>
      </c>
      <c r="W17">
        <v>16</v>
      </c>
      <c r="X17" s="11">
        <v>0.15110000000000001</v>
      </c>
      <c r="Y17" s="12">
        <v>0.11111111111111116</v>
      </c>
    </row>
    <row r="18" spans="1:25" x14ac:dyDescent="0.25">
      <c r="A18" s="1" t="s">
        <v>55</v>
      </c>
      <c r="B18" s="2">
        <v>1.1103305298225029E+18</v>
      </c>
      <c r="C18" s="2">
        <v>9.8655891934985011E+17</v>
      </c>
      <c r="D18" s="2">
        <v>78</v>
      </c>
      <c r="E18" s="2">
        <v>3</v>
      </c>
      <c r="F18" s="2">
        <v>8</v>
      </c>
      <c r="G18" s="2">
        <v>8069</v>
      </c>
      <c r="H18" s="2" t="s">
        <v>81</v>
      </c>
      <c r="I18" s="2">
        <f t="shared" si="0"/>
        <v>-0.33333333333333337</v>
      </c>
      <c r="J18" s="2">
        <v>-2</v>
      </c>
      <c r="K18" s="2" t="s">
        <v>82</v>
      </c>
      <c r="L18" s="2" t="b">
        <v>0</v>
      </c>
      <c r="M18" s="2" t="s">
        <v>3</v>
      </c>
      <c r="N18" s="2" t="s">
        <v>83</v>
      </c>
      <c r="O18" s="2" t="s">
        <v>84</v>
      </c>
      <c r="P18" s="2" t="s">
        <v>4</v>
      </c>
      <c r="Q18" s="8" t="s">
        <v>85</v>
      </c>
      <c r="W18">
        <v>17</v>
      </c>
      <c r="X18" s="10">
        <v>-0.64759999999999995</v>
      </c>
      <c r="Y18" s="12">
        <v>-0.33333333333333337</v>
      </c>
    </row>
    <row r="19" spans="1:25" x14ac:dyDescent="0.25">
      <c r="A19" s="3" t="s">
        <v>55</v>
      </c>
      <c r="B19" s="4">
        <v>1.1103305301327462E+18</v>
      </c>
      <c r="C19" s="4">
        <v>1.0634065830722273E+18</v>
      </c>
      <c r="D19" s="4">
        <v>208</v>
      </c>
      <c r="E19" s="4">
        <v>1249</v>
      </c>
      <c r="F19" s="4">
        <v>0</v>
      </c>
      <c r="G19" s="4">
        <v>4633</v>
      </c>
      <c r="H19" s="4" t="s">
        <v>86</v>
      </c>
      <c r="I19" s="2">
        <f t="shared" si="0"/>
        <v>0.11111111111111116</v>
      </c>
      <c r="J19" s="4">
        <v>0</v>
      </c>
      <c r="K19" s="4" t="s">
        <v>87</v>
      </c>
      <c r="L19" s="4" t="b">
        <v>0</v>
      </c>
      <c r="M19" s="4" t="s">
        <v>88</v>
      </c>
      <c r="N19" s="4" t="s">
        <v>4</v>
      </c>
      <c r="O19" s="4" t="s">
        <v>89</v>
      </c>
      <c r="P19" s="4" t="s">
        <v>90</v>
      </c>
      <c r="Q19" s="9" t="s">
        <v>91</v>
      </c>
      <c r="W19">
        <v>18</v>
      </c>
      <c r="X19" s="11">
        <v>0.29599999999999999</v>
      </c>
      <c r="Y19" s="12">
        <v>0.11111111111111116</v>
      </c>
    </row>
    <row r="20" spans="1:25" x14ac:dyDescent="0.25">
      <c r="A20" s="1" t="s">
        <v>92</v>
      </c>
      <c r="B20" s="2">
        <v>1.1103305302670459E+18</v>
      </c>
      <c r="C20" s="2">
        <v>3698421556</v>
      </c>
      <c r="D20" s="2">
        <v>372</v>
      </c>
      <c r="E20" s="2">
        <v>65</v>
      </c>
      <c r="F20" s="2">
        <v>0</v>
      </c>
      <c r="G20" s="2">
        <v>26288</v>
      </c>
      <c r="H20" s="2" t="s">
        <v>93</v>
      </c>
      <c r="I20" s="2">
        <f t="shared" si="0"/>
        <v>0.11111111111111116</v>
      </c>
      <c r="J20" s="2">
        <v>0</v>
      </c>
      <c r="K20" s="2" t="s">
        <v>94</v>
      </c>
      <c r="L20" s="2" t="b">
        <v>0</v>
      </c>
      <c r="M20" s="2" t="s">
        <v>3</v>
      </c>
      <c r="N20" s="2" t="s">
        <v>4</v>
      </c>
      <c r="O20" s="2" t="s">
        <v>5</v>
      </c>
      <c r="P20" s="2" t="s">
        <v>4</v>
      </c>
      <c r="Q20" s="8" t="s">
        <v>4</v>
      </c>
      <c r="W20">
        <v>19</v>
      </c>
      <c r="X20" s="10">
        <v>0</v>
      </c>
      <c r="Y20" s="12">
        <v>0.11111111111111116</v>
      </c>
    </row>
    <row r="21" spans="1:25" x14ac:dyDescent="0.25">
      <c r="A21" s="3" t="s">
        <v>92</v>
      </c>
      <c r="B21" s="4">
        <v>1.1103305307871969E+18</v>
      </c>
      <c r="C21" s="4">
        <v>9.439630861800448E+17</v>
      </c>
      <c r="D21" s="4">
        <v>17</v>
      </c>
      <c r="E21" s="4">
        <v>5</v>
      </c>
      <c r="F21" s="4">
        <v>1</v>
      </c>
      <c r="G21" s="4">
        <v>11110</v>
      </c>
      <c r="H21" s="4" t="s">
        <v>95</v>
      </c>
      <c r="I21" s="2">
        <f t="shared" si="0"/>
        <v>0.33333333333333326</v>
      </c>
      <c r="J21" s="4">
        <v>1</v>
      </c>
      <c r="K21" s="4" t="s">
        <v>96</v>
      </c>
      <c r="L21" s="4" t="b">
        <v>0</v>
      </c>
      <c r="M21" s="4" t="s">
        <v>97</v>
      </c>
      <c r="N21" s="4" t="s">
        <v>4</v>
      </c>
      <c r="O21" s="4" t="s">
        <v>5</v>
      </c>
      <c r="P21" s="4" t="s">
        <v>4</v>
      </c>
      <c r="Q21" s="9" t="s">
        <v>4</v>
      </c>
      <c r="W21">
        <v>20</v>
      </c>
      <c r="X21" s="11">
        <v>0</v>
      </c>
      <c r="Y21" s="12">
        <v>0.33333333333333326</v>
      </c>
    </row>
    <row r="22" spans="1:25" x14ac:dyDescent="0.25">
      <c r="A22" s="1" t="s">
        <v>92</v>
      </c>
      <c r="B22" s="2">
        <v>1.110330531022078E+18</v>
      </c>
      <c r="C22" s="2">
        <v>9.4507471989581005E+17</v>
      </c>
      <c r="D22" s="2">
        <v>16</v>
      </c>
      <c r="E22" s="2">
        <v>4</v>
      </c>
      <c r="F22" s="2">
        <v>0</v>
      </c>
      <c r="G22" s="2">
        <v>11060</v>
      </c>
      <c r="H22" s="2" t="s">
        <v>98</v>
      </c>
      <c r="I22" s="2">
        <f t="shared" si="0"/>
        <v>0.55555555555555558</v>
      </c>
      <c r="J22" s="2">
        <v>2</v>
      </c>
      <c r="K22" s="2" t="s">
        <v>99</v>
      </c>
      <c r="L22" s="2" t="b">
        <v>0</v>
      </c>
      <c r="M22" s="2" t="s">
        <v>100</v>
      </c>
      <c r="N22" s="2" t="s">
        <v>4</v>
      </c>
      <c r="O22" s="2" t="s">
        <v>5</v>
      </c>
      <c r="P22" s="2" t="s">
        <v>4</v>
      </c>
      <c r="Q22" s="8" t="s">
        <v>4</v>
      </c>
      <c r="W22">
        <v>21</v>
      </c>
      <c r="X22" s="10">
        <v>0</v>
      </c>
      <c r="Y22" s="12">
        <v>0.55555555555555558</v>
      </c>
    </row>
    <row r="23" spans="1:25" x14ac:dyDescent="0.25">
      <c r="A23" s="3" t="s">
        <v>92</v>
      </c>
      <c r="B23" s="4">
        <v>1.1103305306948772E+18</v>
      </c>
      <c r="C23" s="4">
        <v>8.7946773648896819E+17</v>
      </c>
      <c r="D23" s="4">
        <v>286</v>
      </c>
      <c r="E23" s="4">
        <v>0</v>
      </c>
      <c r="F23" s="4">
        <v>23</v>
      </c>
      <c r="G23" s="4">
        <v>5385</v>
      </c>
      <c r="H23" s="4" t="s">
        <v>101</v>
      </c>
      <c r="I23" s="2">
        <f t="shared" si="0"/>
        <v>0.11111111111111116</v>
      </c>
      <c r="J23" s="4">
        <v>0</v>
      </c>
      <c r="K23" s="4" t="s">
        <v>102</v>
      </c>
      <c r="L23" s="4" t="b">
        <v>0</v>
      </c>
      <c r="M23" s="4" t="s">
        <v>3</v>
      </c>
      <c r="N23" s="4" t="s">
        <v>4</v>
      </c>
      <c r="O23" s="4" t="s">
        <v>5</v>
      </c>
      <c r="P23" s="4" t="s">
        <v>4</v>
      </c>
      <c r="Q23" s="9" t="s">
        <v>4</v>
      </c>
      <c r="W23">
        <v>22</v>
      </c>
      <c r="X23" s="11">
        <v>0</v>
      </c>
      <c r="Y23" s="12">
        <v>0.11111111111111116</v>
      </c>
    </row>
    <row r="24" spans="1:25" x14ac:dyDescent="0.25">
      <c r="A24" s="1" t="s">
        <v>92</v>
      </c>
      <c r="B24" s="2">
        <v>1.1103305311814451E+18</v>
      </c>
      <c r="C24" s="2">
        <v>9.1952690324516454E+17</v>
      </c>
      <c r="D24" s="2">
        <v>2088</v>
      </c>
      <c r="E24" s="2">
        <v>12</v>
      </c>
      <c r="F24" s="2">
        <v>4</v>
      </c>
      <c r="G24" s="2">
        <v>12621</v>
      </c>
      <c r="H24" s="2" t="s">
        <v>103</v>
      </c>
      <c r="I24" s="2">
        <f t="shared" si="0"/>
        <v>-0.11111111111111116</v>
      </c>
      <c r="J24" s="2">
        <v>-1</v>
      </c>
      <c r="K24" s="2" t="s">
        <v>104</v>
      </c>
      <c r="L24" s="2" t="b">
        <v>0</v>
      </c>
      <c r="M24" s="2" t="s">
        <v>3</v>
      </c>
      <c r="N24" s="2" t="s">
        <v>4</v>
      </c>
      <c r="O24" s="2" t="s">
        <v>105</v>
      </c>
      <c r="P24" s="2" t="s">
        <v>106</v>
      </c>
      <c r="Q24" s="8" t="s">
        <v>107</v>
      </c>
      <c r="W24">
        <v>23</v>
      </c>
      <c r="X24" s="10">
        <v>0.2263</v>
      </c>
      <c r="Y24" s="12">
        <v>-0.11111111111111116</v>
      </c>
    </row>
    <row r="25" spans="1:25" x14ac:dyDescent="0.25">
      <c r="A25" s="3" t="s">
        <v>92</v>
      </c>
      <c r="B25" s="4">
        <v>1.1103305310472397E+18</v>
      </c>
      <c r="C25" s="4">
        <v>9.6710087125008384E+17</v>
      </c>
      <c r="D25" s="4">
        <v>10</v>
      </c>
      <c r="E25" s="4">
        <v>26</v>
      </c>
      <c r="F25" s="4">
        <v>0</v>
      </c>
      <c r="G25" s="4">
        <v>7866</v>
      </c>
      <c r="H25" s="4" t="s">
        <v>108</v>
      </c>
      <c r="I25" s="2">
        <f t="shared" si="0"/>
        <v>0.11111111111111116</v>
      </c>
      <c r="J25" s="4">
        <v>0</v>
      </c>
      <c r="K25" s="4" t="s">
        <v>109</v>
      </c>
      <c r="L25" s="4" t="b">
        <v>0</v>
      </c>
      <c r="M25" s="4" t="s">
        <v>3</v>
      </c>
      <c r="N25" s="4" t="s">
        <v>4</v>
      </c>
      <c r="O25" s="4" t="s">
        <v>5</v>
      </c>
      <c r="P25" s="4" t="s">
        <v>4</v>
      </c>
      <c r="Q25" s="9" t="s">
        <v>4</v>
      </c>
      <c r="W25">
        <v>24</v>
      </c>
      <c r="X25" s="11">
        <v>0</v>
      </c>
      <c r="Y25" s="12">
        <v>0.11111111111111116</v>
      </c>
    </row>
    <row r="26" spans="1:25" x14ac:dyDescent="0.25">
      <c r="A26" s="1" t="s">
        <v>92</v>
      </c>
      <c r="B26" s="2">
        <v>1.1103305309382124E+18</v>
      </c>
      <c r="C26" s="2">
        <v>1.0797956572910387E+18</v>
      </c>
      <c r="D26" s="2">
        <v>87</v>
      </c>
      <c r="E26" s="2">
        <v>0</v>
      </c>
      <c r="F26" s="2">
        <v>0</v>
      </c>
      <c r="G26" s="2">
        <v>28489</v>
      </c>
      <c r="H26" s="2" t="s">
        <v>110</v>
      </c>
      <c r="I26" s="2">
        <f t="shared" si="0"/>
        <v>-0.33333333333333337</v>
      </c>
      <c r="J26" s="2">
        <v>-2</v>
      </c>
      <c r="K26" s="2" t="s">
        <v>111</v>
      </c>
      <c r="L26" s="2" t="b">
        <v>0</v>
      </c>
      <c r="M26" s="2" t="s">
        <v>3</v>
      </c>
      <c r="N26" s="2" t="s">
        <v>4</v>
      </c>
      <c r="O26" s="2" t="s">
        <v>5</v>
      </c>
      <c r="P26" s="2" t="s">
        <v>4</v>
      </c>
      <c r="Q26" s="8" t="s">
        <v>4</v>
      </c>
      <c r="W26">
        <v>25</v>
      </c>
      <c r="X26" s="10">
        <v>0</v>
      </c>
      <c r="Y26" s="12">
        <v>-0.33333333333333337</v>
      </c>
    </row>
    <row r="27" spans="1:25" x14ac:dyDescent="0.25">
      <c r="A27" s="3" t="s">
        <v>92</v>
      </c>
      <c r="B27" s="4">
        <v>1.110330531802239E+18</v>
      </c>
      <c r="C27" s="4">
        <v>9.6302385071075328E+17</v>
      </c>
      <c r="D27" s="4">
        <v>27</v>
      </c>
      <c r="E27" s="4">
        <v>0</v>
      </c>
      <c r="F27" s="4">
        <v>0</v>
      </c>
      <c r="G27" s="4">
        <v>9737</v>
      </c>
      <c r="H27" s="4" t="s">
        <v>112</v>
      </c>
      <c r="I27" s="2">
        <f t="shared" si="0"/>
        <v>-0.33333333333333337</v>
      </c>
      <c r="J27" s="4">
        <v>-2</v>
      </c>
      <c r="K27" s="4" t="s">
        <v>113</v>
      </c>
      <c r="L27" s="4" t="b">
        <v>0</v>
      </c>
      <c r="M27" s="4" t="s">
        <v>114</v>
      </c>
      <c r="N27" s="4" t="s">
        <v>4</v>
      </c>
      <c r="O27" s="4" t="s">
        <v>5</v>
      </c>
      <c r="P27" s="4" t="s">
        <v>4</v>
      </c>
      <c r="Q27" s="9" t="s">
        <v>4</v>
      </c>
      <c r="W27">
        <v>26</v>
      </c>
      <c r="X27" s="11">
        <v>0</v>
      </c>
      <c r="Y27" s="12">
        <v>-0.33333333333333337</v>
      </c>
    </row>
    <row r="28" spans="1:25" x14ac:dyDescent="0.25">
      <c r="A28" s="1" t="s">
        <v>92</v>
      </c>
      <c r="B28" s="2">
        <v>1.1103305319027057E+18</v>
      </c>
      <c r="C28" s="2">
        <v>2385698162</v>
      </c>
      <c r="D28" s="2">
        <v>506</v>
      </c>
      <c r="E28" s="2">
        <v>83</v>
      </c>
      <c r="F28" s="2">
        <v>107</v>
      </c>
      <c r="G28" s="2">
        <v>14883</v>
      </c>
      <c r="H28" s="2" t="s">
        <v>115</v>
      </c>
      <c r="I28" s="2">
        <f t="shared" si="0"/>
        <v>0.33333333333333326</v>
      </c>
      <c r="J28" s="2">
        <v>1</v>
      </c>
      <c r="K28" s="2" t="s">
        <v>116</v>
      </c>
      <c r="L28" s="2" t="b">
        <v>0</v>
      </c>
      <c r="M28" s="2" t="s">
        <v>3</v>
      </c>
      <c r="N28" s="2" t="s">
        <v>4</v>
      </c>
      <c r="O28" s="2" t="s">
        <v>117</v>
      </c>
      <c r="P28" s="2" t="s">
        <v>118</v>
      </c>
      <c r="Q28" s="8" t="s">
        <v>119</v>
      </c>
      <c r="W28">
        <v>27</v>
      </c>
      <c r="X28" s="10">
        <v>0.80200000000000005</v>
      </c>
      <c r="Y28" s="12">
        <v>0.33333333333333326</v>
      </c>
    </row>
    <row r="29" spans="1:25" x14ac:dyDescent="0.25">
      <c r="A29" s="3" t="s">
        <v>92</v>
      </c>
      <c r="B29" s="4">
        <v>1.1103305322174505E+18</v>
      </c>
      <c r="C29" s="4">
        <v>9.1953438276294246E+17</v>
      </c>
      <c r="D29" s="4">
        <v>1566</v>
      </c>
      <c r="E29" s="4">
        <v>11</v>
      </c>
      <c r="F29" s="4">
        <v>0</v>
      </c>
      <c r="G29" s="4">
        <v>12611</v>
      </c>
      <c r="H29" s="4" t="s">
        <v>120</v>
      </c>
      <c r="I29" s="2">
        <f t="shared" si="0"/>
        <v>-0.11111111111111116</v>
      </c>
      <c r="J29" s="4">
        <v>-1</v>
      </c>
      <c r="K29" s="4" t="s">
        <v>121</v>
      </c>
      <c r="L29" s="4" t="b">
        <v>0</v>
      </c>
      <c r="M29" s="4" t="s">
        <v>3</v>
      </c>
      <c r="N29" s="4" t="s">
        <v>4</v>
      </c>
      <c r="O29" s="4" t="s">
        <v>122</v>
      </c>
      <c r="P29" s="4" t="s">
        <v>123</v>
      </c>
      <c r="Q29" s="9" t="s">
        <v>107</v>
      </c>
      <c r="W29">
        <v>28</v>
      </c>
      <c r="X29" s="11">
        <v>0.2263</v>
      </c>
      <c r="Y29" s="12">
        <v>-0.11111111111111116</v>
      </c>
    </row>
    <row r="30" spans="1:25" x14ac:dyDescent="0.25">
      <c r="A30" s="1" t="s">
        <v>92</v>
      </c>
      <c r="B30" s="2">
        <v>1.1103305323642511E+18</v>
      </c>
      <c r="C30" s="2">
        <v>1278579288</v>
      </c>
      <c r="D30" s="2">
        <v>3175</v>
      </c>
      <c r="E30" s="2">
        <v>5001</v>
      </c>
      <c r="F30" s="2">
        <v>43272</v>
      </c>
      <c r="G30" s="2">
        <v>40695</v>
      </c>
      <c r="H30" s="2" t="s">
        <v>124</v>
      </c>
      <c r="I30" s="2">
        <f t="shared" si="0"/>
        <v>-0.33333333333333337</v>
      </c>
      <c r="J30" s="2">
        <v>-2</v>
      </c>
      <c r="K30" s="2" t="s">
        <v>125</v>
      </c>
      <c r="L30" s="2" t="b">
        <v>0</v>
      </c>
      <c r="M30" s="2" t="s">
        <v>3</v>
      </c>
      <c r="N30" s="2" t="s">
        <v>4</v>
      </c>
      <c r="O30" s="2" t="s">
        <v>5</v>
      </c>
      <c r="P30" s="2" t="s">
        <v>4</v>
      </c>
      <c r="Q30" s="8" t="s">
        <v>4</v>
      </c>
      <c r="W30">
        <v>29</v>
      </c>
      <c r="X30" s="10">
        <v>0</v>
      </c>
      <c r="Y30" s="12">
        <v>-0.33333333333333337</v>
      </c>
    </row>
    <row r="31" spans="1:25" x14ac:dyDescent="0.25">
      <c r="A31" s="3" t="s">
        <v>92</v>
      </c>
      <c r="B31" s="4">
        <v>1.1103305319321928E+18</v>
      </c>
      <c r="C31" s="4">
        <v>9.331137043669033E+17</v>
      </c>
      <c r="D31" s="4">
        <v>7194</v>
      </c>
      <c r="E31" s="4">
        <v>12</v>
      </c>
      <c r="F31" s="4">
        <v>1410</v>
      </c>
      <c r="G31" s="4">
        <v>7645</v>
      </c>
      <c r="H31" s="4" t="s">
        <v>126</v>
      </c>
      <c r="I31" s="2">
        <f t="shared" si="0"/>
        <v>0.11111111111111116</v>
      </c>
      <c r="J31" s="4">
        <v>0</v>
      </c>
      <c r="K31" s="4" t="s">
        <v>127</v>
      </c>
      <c r="L31" s="4" t="b">
        <v>0</v>
      </c>
      <c r="M31" s="4" t="s">
        <v>128</v>
      </c>
      <c r="N31" s="4" t="s">
        <v>129</v>
      </c>
      <c r="O31" s="4" t="s">
        <v>65</v>
      </c>
      <c r="P31" s="4" t="s">
        <v>130</v>
      </c>
      <c r="Q31" s="9" t="s">
        <v>131</v>
      </c>
      <c r="W31">
        <v>30</v>
      </c>
      <c r="X31" s="11">
        <v>0.50429999999999997</v>
      </c>
      <c r="Y31" s="12">
        <v>0.11111111111111116</v>
      </c>
    </row>
    <row r="32" spans="1:25" x14ac:dyDescent="0.25">
      <c r="A32" s="1" t="s">
        <v>92</v>
      </c>
      <c r="B32" s="2">
        <v>1.1103305330142003E+18</v>
      </c>
      <c r="C32" s="2">
        <v>9.9882838476221645E+17</v>
      </c>
      <c r="D32" s="2">
        <v>414</v>
      </c>
      <c r="E32" s="2">
        <v>1</v>
      </c>
      <c r="F32" s="2">
        <v>1</v>
      </c>
      <c r="G32" s="2">
        <v>3538</v>
      </c>
      <c r="H32" s="2" t="s">
        <v>132</v>
      </c>
      <c r="I32" s="2">
        <f t="shared" si="0"/>
        <v>0.33333333333333326</v>
      </c>
      <c r="J32" s="2">
        <v>1</v>
      </c>
      <c r="K32" s="2" t="s">
        <v>133</v>
      </c>
      <c r="L32" s="2" t="b">
        <v>0</v>
      </c>
      <c r="M32" s="2" t="s">
        <v>134</v>
      </c>
      <c r="N32" s="2" t="s">
        <v>4</v>
      </c>
      <c r="O32" s="2" t="s">
        <v>5</v>
      </c>
      <c r="P32" s="2" t="s">
        <v>4</v>
      </c>
      <c r="Q32" s="8" t="s">
        <v>4</v>
      </c>
      <c r="W32">
        <v>31</v>
      </c>
      <c r="X32" s="10">
        <v>0</v>
      </c>
      <c r="Y32" s="12">
        <v>0.33333333333333326</v>
      </c>
    </row>
    <row r="33" spans="1:25" x14ac:dyDescent="0.25">
      <c r="A33" s="3" t="s">
        <v>92</v>
      </c>
      <c r="B33" s="4">
        <v>1.1103305332701676E+18</v>
      </c>
      <c r="C33" s="4">
        <v>8.659104819109847E+17</v>
      </c>
      <c r="D33" s="4">
        <v>1610</v>
      </c>
      <c r="E33" s="4">
        <v>13</v>
      </c>
      <c r="F33" s="4">
        <v>4</v>
      </c>
      <c r="G33" s="4">
        <v>16074</v>
      </c>
      <c r="H33" s="4" t="s">
        <v>135</v>
      </c>
      <c r="I33" s="2">
        <f t="shared" si="0"/>
        <v>-0.11111111111111116</v>
      </c>
      <c r="J33" s="4">
        <v>-1</v>
      </c>
      <c r="K33" s="4" t="s">
        <v>136</v>
      </c>
      <c r="L33" s="4" t="b">
        <v>0</v>
      </c>
      <c r="M33" s="4" t="s">
        <v>3</v>
      </c>
      <c r="N33" s="4" t="s">
        <v>4</v>
      </c>
      <c r="O33" s="4" t="s">
        <v>122</v>
      </c>
      <c r="P33" s="4" t="s">
        <v>123</v>
      </c>
      <c r="Q33" s="9" t="s">
        <v>107</v>
      </c>
      <c r="W33">
        <v>32</v>
      </c>
      <c r="X33" s="11">
        <v>0.2263</v>
      </c>
      <c r="Y33" s="12">
        <v>-0.11111111111111116</v>
      </c>
    </row>
    <row r="34" spans="1:25" x14ac:dyDescent="0.25">
      <c r="A34" s="1" t="s">
        <v>92</v>
      </c>
      <c r="B34" s="2">
        <v>1.110330533479936E+18</v>
      </c>
      <c r="C34" s="2">
        <v>3307284725</v>
      </c>
      <c r="D34" s="2">
        <v>525</v>
      </c>
      <c r="E34" s="2">
        <v>326</v>
      </c>
      <c r="F34" s="2">
        <v>9388</v>
      </c>
      <c r="G34" s="2">
        <v>17236</v>
      </c>
      <c r="H34" s="2" t="s">
        <v>137</v>
      </c>
      <c r="I34" s="2">
        <f t="shared" si="0"/>
        <v>-0.55555555555555558</v>
      </c>
      <c r="J34" s="2">
        <v>-3</v>
      </c>
      <c r="K34" s="2" t="s">
        <v>138</v>
      </c>
      <c r="L34" s="2" t="b">
        <v>0</v>
      </c>
      <c r="M34" s="2" t="s">
        <v>139</v>
      </c>
      <c r="N34" s="2" t="s">
        <v>140</v>
      </c>
      <c r="O34" s="2" t="s">
        <v>141</v>
      </c>
      <c r="P34" s="2" t="s">
        <v>4</v>
      </c>
      <c r="Q34" s="8" t="s">
        <v>142</v>
      </c>
      <c r="W34">
        <v>33</v>
      </c>
      <c r="X34" s="10">
        <v>-0.83160000000000001</v>
      </c>
      <c r="Y34" s="12">
        <v>-0.55555555555555558</v>
      </c>
    </row>
    <row r="35" spans="1:25" x14ac:dyDescent="0.25">
      <c r="A35" s="3" t="s">
        <v>92</v>
      </c>
      <c r="B35" s="4">
        <v>1.1103305332324762E+18</v>
      </c>
      <c r="C35" s="4">
        <v>258480144</v>
      </c>
      <c r="D35" s="4">
        <v>12376</v>
      </c>
      <c r="E35" s="4">
        <v>20603</v>
      </c>
      <c r="F35" s="4">
        <v>890</v>
      </c>
      <c r="G35" s="4">
        <v>1289314</v>
      </c>
      <c r="H35" s="4" t="s">
        <v>143</v>
      </c>
      <c r="I35" s="2">
        <f t="shared" si="0"/>
        <v>0.11111111111111116</v>
      </c>
      <c r="J35" s="4">
        <v>0</v>
      </c>
      <c r="K35" s="4" t="s">
        <v>144</v>
      </c>
      <c r="L35" s="4" t="b">
        <v>0</v>
      </c>
      <c r="M35" s="4" t="s">
        <v>145</v>
      </c>
      <c r="N35" s="4" t="s">
        <v>4</v>
      </c>
      <c r="O35" s="4" t="s">
        <v>5</v>
      </c>
      <c r="P35" s="4" t="s">
        <v>4</v>
      </c>
      <c r="Q35" s="9" t="s">
        <v>4</v>
      </c>
      <c r="W35">
        <v>34</v>
      </c>
      <c r="X35" s="11">
        <v>0</v>
      </c>
      <c r="Y35" s="12">
        <v>0.11111111111111116</v>
      </c>
    </row>
    <row r="36" spans="1:25" x14ac:dyDescent="0.25">
      <c r="A36" s="1" t="s">
        <v>92</v>
      </c>
      <c r="B36" s="2">
        <v>1.1103305326998241E+18</v>
      </c>
      <c r="C36" s="2">
        <v>9.331137043669033E+17</v>
      </c>
      <c r="D36" s="2">
        <v>7194</v>
      </c>
      <c r="E36" s="2">
        <v>12</v>
      </c>
      <c r="F36" s="2">
        <v>1410</v>
      </c>
      <c r="G36" s="2">
        <v>7645</v>
      </c>
      <c r="H36" s="2" t="s">
        <v>126</v>
      </c>
      <c r="I36" s="2">
        <f t="shared" si="0"/>
        <v>0.11111111111111116</v>
      </c>
      <c r="J36" s="2">
        <v>0</v>
      </c>
      <c r="K36" s="2" t="s">
        <v>146</v>
      </c>
      <c r="L36" s="2" t="b">
        <v>0</v>
      </c>
      <c r="M36" s="2" t="s">
        <v>147</v>
      </c>
      <c r="N36" s="2" t="s">
        <v>4</v>
      </c>
      <c r="O36" s="2" t="s">
        <v>148</v>
      </c>
      <c r="P36" s="2" t="s">
        <v>149</v>
      </c>
      <c r="Q36" s="8" t="s">
        <v>150</v>
      </c>
      <c r="W36">
        <v>35</v>
      </c>
      <c r="X36" s="10">
        <v>0.70960000000000001</v>
      </c>
      <c r="Y36" s="12">
        <v>0.11111111111111116</v>
      </c>
    </row>
    <row r="37" spans="1:25" x14ac:dyDescent="0.25">
      <c r="A37" s="3" t="s">
        <v>92</v>
      </c>
      <c r="B37" s="4">
        <v>1.1103305340713574E+18</v>
      </c>
      <c r="C37" s="4">
        <v>8.9813605927979008E+17</v>
      </c>
      <c r="D37" s="4">
        <v>1685</v>
      </c>
      <c r="E37" s="4">
        <v>12</v>
      </c>
      <c r="F37" s="4">
        <v>5</v>
      </c>
      <c r="G37" s="4">
        <v>14031</v>
      </c>
      <c r="H37" s="4" t="s">
        <v>151</v>
      </c>
      <c r="I37" s="2">
        <f t="shared" si="0"/>
        <v>-0.11111111111111116</v>
      </c>
      <c r="J37" s="4">
        <v>-1</v>
      </c>
      <c r="K37" s="4" t="s">
        <v>152</v>
      </c>
      <c r="L37" s="4" t="b">
        <v>0</v>
      </c>
      <c r="M37" s="4" t="s">
        <v>3</v>
      </c>
      <c r="N37" s="4" t="s">
        <v>4</v>
      </c>
      <c r="O37" s="4" t="s">
        <v>122</v>
      </c>
      <c r="P37" s="4" t="s">
        <v>123</v>
      </c>
      <c r="Q37" s="9" t="s">
        <v>107</v>
      </c>
      <c r="W37">
        <v>36</v>
      </c>
      <c r="X37" s="11">
        <v>0.2263</v>
      </c>
      <c r="Y37" s="12">
        <v>-0.11111111111111116</v>
      </c>
    </row>
    <row r="38" spans="1:25" x14ac:dyDescent="0.25">
      <c r="A38" s="1" t="s">
        <v>92</v>
      </c>
      <c r="B38" s="2">
        <v>1.1103305342054932E+18</v>
      </c>
      <c r="C38" s="2">
        <v>8.7946773648896819E+17</v>
      </c>
      <c r="D38" s="2">
        <v>286</v>
      </c>
      <c r="E38" s="2">
        <v>0</v>
      </c>
      <c r="F38" s="2">
        <v>23</v>
      </c>
      <c r="G38" s="2">
        <v>5387</v>
      </c>
      <c r="H38" s="2" t="s">
        <v>101</v>
      </c>
      <c r="I38" s="2">
        <f t="shared" si="0"/>
        <v>0.33333333333333326</v>
      </c>
      <c r="J38" s="2">
        <v>1</v>
      </c>
      <c r="K38" s="2" t="s">
        <v>153</v>
      </c>
      <c r="L38" s="2" t="b">
        <v>0</v>
      </c>
      <c r="M38" s="2" t="s">
        <v>3</v>
      </c>
      <c r="N38" s="2" t="s">
        <v>4</v>
      </c>
      <c r="O38" s="2" t="s">
        <v>5</v>
      </c>
      <c r="P38" s="2" t="s">
        <v>4</v>
      </c>
      <c r="Q38" s="8" t="s">
        <v>4</v>
      </c>
      <c r="W38">
        <v>37</v>
      </c>
      <c r="X38" s="10">
        <v>0</v>
      </c>
      <c r="Y38" s="12">
        <v>0.33333333333333326</v>
      </c>
    </row>
    <row r="39" spans="1:25" x14ac:dyDescent="0.25">
      <c r="A39" s="3" t="s">
        <v>154</v>
      </c>
      <c r="B39" s="4">
        <v>1.1103305344488079E+18</v>
      </c>
      <c r="C39" s="4">
        <v>124157060</v>
      </c>
      <c r="D39" s="4">
        <v>8079</v>
      </c>
      <c r="E39" s="4">
        <v>7501</v>
      </c>
      <c r="F39" s="4">
        <v>161</v>
      </c>
      <c r="G39" s="4">
        <v>12514</v>
      </c>
      <c r="H39" s="4" t="s">
        <v>155</v>
      </c>
      <c r="I39" s="2">
        <f t="shared" si="0"/>
        <v>0.11111111111111116</v>
      </c>
      <c r="J39" s="4">
        <v>0</v>
      </c>
      <c r="K39" s="4" t="s">
        <v>156</v>
      </c>
      <c r="L39" s="4" t="b">
        <v>0</v>
      </c>
      <c r="M39" s="4" t="s">
        <v>157</v>
      </c>
      <c r="N39" s="4" t="s">
        <v>4</v>
      </c>
      <c r="O39" s="4" t="s">
        <v>5</v>
      </c>
      <c r="P39" s="4" t="s">
        <v>4</v>
      </c>
      <c r="Q39" s="9" t="s">
        <v>4</v>
      </c>
      <c r="W39">
        <v>38</v>
      </c>
      <c r="X39" s="11">
        <v>0</v>
      </c>
      <c r="Y39" s="12">
        <v>0.11111111111111116</v>
      </c>
    </row>
    <row r="40" spans="1:25" x14ac:dyDescent="0.25">
      <c r="A40" s="1" t="s">
        <v>154</v>
      </c>
      <c r="B40" s="2">
        <v>1.1103305345956209E+18</v>
      </c>
      <c r="C40" s="2">
        <v>9.9192193833434317E+17</v>
      </c>
      <c r="D40" s="2">
        <v>1933</v>
      </c>
      <c r="E40" s="2">
        <v>1639</v>
      </c>
      <c r="F40" s="2">
        <v>15</v>
      </c>
      <c r="G40" s="2">
        <v>2802</v>
      </c>
      <c r="H40" s="2" t="s">
        <v>158</v>
      </c>
      <c r="I40" s="2">
        <f t="shared" si="0"/>
        <v>0.11111111111111116</v>
      </c>
      <c r="J40" s="2">
        <v>0</v>
      </c>
      <c r="K40" s="2" t="s">
        <v>159</v>
      </c>
      <c r="L40" s="2" t="b">
        <v>0</v>
      </c>
      <c r="M40" s="2" t="s">
        <v>160</v>
      </c>
      <c r="N40" s="2" t="s">
        <v>4</v>
      </c>
      <c r="O40" s="2" t="s">
        <v>161</v>
      </c>
      <c r="P40" s="2" t="s">
        <v>162</v>
      </c>
      <c r="Q40" s="8" t="s">
        <v>163</v>
      </c>
      <c r="W40">
        <v>39</v>
      </c>
      <c r="X40" s="10">
        <v>0.34</v>
      </c>
      <c r="Y40" s="12">
        <v>0.11111111111111116</v>
      </c>
    </row>
    <row r="41" spans="1:25" x14ac:dyDescent="0.25">
      <c r="A41" s="3" t="s">
        <v>154</v>
      </c>
      <c r="B41" s="4">
        <v>1.1103305351576863E+18</v>
      </c>
      <c r="C41" s="4">
        <v>1.0121392549174477E+18</v>
      </c>
      <c r="D41" s="4">
        <v>180</v>
      </c>
      <c r="E41" s="4">
        <v>550</v>
      </c>
      <c r="F41" s="4">
        <v>162</v>
      </c>
      <c r="G41" s="4">
        <v>375</v>
      </c>
      <c r="H41" s="4" t="s">
        <v>164</v>
      </c>
      <c r="I41" s="2">
        <f t="shared" si="0"/>
        <v>0.11111111111111116</v>
      </c>
      <c r="J41" s="4">
        <v>0</v>
      </c>
      <c r="K41" s="4" t="s">
        <v>165</v>
      </c>
      <c r="L41" s="4" t="b">
        <v>0</v>
      </c>
      <c r="M41" s="4" t="s">
        <v>3</v>
      </c>
      <c r="N41" s="4" t="s">
        <v>4</v>
      </c>
      <c r="O41" s="4" t="s">
        <v>5</v>
      </c>
      <c r="P41" s="4" t="s">
        <v>4</v>
      </c>
      <c r="Q41" s="9" t="s">
        <v>4</v>
      </c>
      <c r="W41">
        <v>40</v>
      </c>
      <c r="X41" s="11">
        <v>0</v>
      </c>
      <c r="Y41" s="12">
        <v>0.11111111111111116</v>
      </c>
    </row>
    <row r="42" spans="1:25" x14ac:dyDescent="0.25">
      <c r="A42" s="1" t="s">
        <v>154</v>
      </c>
      <c r="B42" s="2">
        <v>1.1103305344445768E+18</v>
      </c>
      <c r="C42" s="2">
        <v>9.8607594551688806E+17</v>
      </c>
      <c r="D42" s="2">
        <v>33</v>
      </c>
      <c r="E42" s="2">
        <v>2</v>
      </c>
      <c r="F42" s="2">
        <v>0</v>
      </c>
      <c r="G42" s="2">
        <v>24596</v>
      </c>
      <c r="H42" s="2" t="s">
        <v>166</v>
      </c>
      <c r="I42" s="2">
        <f t="shared" si="0"/>
        <v>0.11111111111111116</v>
      </c>
      <c r="J42" s="2">
        <v>0</v>
      </c>
      <c r="K42" s="2" t="s">
        <v>167</v>
      </c>
      <c r="L42" s="2" t="b">
        <v>0</v>
      </c>
      <c r="M42" s="2" t="s">
        <v>3</v>
      </c>
      <c r="N42" s="2" t="s">
        <v>4</v>
      </c>
      <c r="O42" s="2" t="s">
        <v>168</v>
      </c>
      <c r="P42" s="2" t="s">
        <v>169</v>
      </c>
      <c r="Q42" s="8" t="s">
        <v>107</v>
      </c>
      <c r="W42">
        <v>41</v>
      </c>
      <c r="X42" s="10">
        <v>0.2263</v>
      </c>
      <c r="Y42" s="12">
        <v>0.11111111111111116</v>
      </c>
    </row>
    <row r="43" spans="1:25" x14ac:dyDescent="0.25">
      <c r="A43" s="3" t="s">
        <v>154</v>
      </c>
      <c r="B43" s="4">
        <v>1.1103305354386227E+18</v>
      </c>
      <c r="C43" s="4">
        <v>9.199587745002496E+17</v>
      </c>
      <c r="D43" s="4">
        <v>3348</v>
      </c>
      <c r="E43" s="4">
        <v>12</v>
      </c>
      <c r="F43" s="4">
        <v>5</v>
      </c>
      <c r="G43" s="4">
        <v>12590</v>
      </c>
      <c r="H43" s="4" t="s">
        <v>170</v>
      </c>
      <c r="I43" s="2">
        <f t="shared" si="0"/>
        <v>-0.11111111111111116</v>
      </c>
      <c r="J43" s="4">
        <v>-1</v>
      </c>
      <c r="K43" s="4" t="s">
        <v>171</v>
      </c>
      <c r="L43" s="4" t="b">
        <v>0</v>
      </c>
      <c r="M43" s="4" t="s">
        <v>3</v>
      </c>
      <c r="N43" s="4" t="s">
        <v>4</v>
      </c>
      <c r="O43" s="4" t="s">
        <v>122</v>
      </c>
      <c r="P43" s="4" t="s">
        <v>123</v>
      </c>
      <c r="Q43" s="9" t="s">
        <v>107</v>
      </c>
      <c r="W43">
        <v>42</v>
      </c>
      <c r="X43" s="11">
        <v>0.2263</v>
      </c>
      <c r="Y43" s="12">
        <v>-0.11111111111111116</v>
      </c>
    </row>
    <row r="44" spans="1:25" x14ac:dyDescent="0.25">
      <c r="A44" s="1" t="s">
        <v>154</v>
      </c>
      <c r="B44" s="2">
        <v>1.1103305352247091E+18</v>
      </c>
      <c r="C44" s="2">
        <v>7.3439019677138125E+17</v>
      </c>
      <c r="D44" s="2">
        <v>13862</v>
      </c>
      <c r="E44" s="2">
        <v>1</v>
      </c>
      <c r="F44" s="2">
        <v>239</v>
      </c>
      <c r="G44" s="2">
        <v>17964</v>
      </c>
      <c r="H44" s="2" t="s">
        <v>172</v>
      </c>
      <c r="I44" s="2">
        <f t="shared" si="0"/>
        <v>0.11111111111111116</v>
      </c>
      <c r="J44" s="2">
        <v>0</v>
      </c>
      <c r="K44" s="2" t="s">
        <v>173</v>
      </c>
      <c r="L44" s="2" t="b">
        <v>0</v>
      </c>
      <c r="M44" s="2" t="s">
        <v>174</v>
      </c>
      <c r="N44" s="2" t="s">
        <v>4</v>
      </c>
      <c r="O44" s="2" t="s">
        <v>175</v>
      </c>
      <c r="P44" s="2" t="s">
        <v>176</v>
      </c>
      <c r="Q44" s="8" t="s">
        <v>177</v>
      </c>
      <c r="W44">
        <v>43</v>
      </c>
      <c r="X44" s="10">
        <v>0.20230000000000001</v>
      </c>
      <c r="Y44" s="12">
        <v>0.11111111111111116</v>
      </c>
    </row>
    <row r="45" spans="1:25" x14ac:dyDescent="0.25">
      <c r="A45" s="3" t="s">
        <v>154</v>
      </c>
      <c r="B45" s="4">
        <v>1.1103305354721812E+18</v>
      </c>
      <c r="C45" s="4">
        <v>1.0724953690644685E+18</v>
      </c>
      <c r="D45" s="4">
        <v>44</v>
      </c>
      <c r="E45" s="4">
        <v>0</v>
      </c>
      <c r="F45" s="4">
        <v>0</v>
      </c>
      <c r="G45" s="4">
        <v>2492</v>
      </c>
      <c r="H45" s="4" t="s">
        <v>178</v>
      </c>
      <c r="I45" s="2">
        <f t="shared" si="0"/>
        <v>0.11111111111111116</v>
      </c>
      <c r="J45" s="4">
        <v>0</v>
      </c>
      <c r="K45" s="4" t="s">
        <v>179</v>
      </c>
      <c r="L45" s="4" t="b">
        <v>0</v>
      </c>
      <c r="M45" s="4" t="s">
        <v>180</v>
      </c>
      <c r="N45" s="4" t="s">
        <v>4</v>
      </c>
      <c r="O45" s="4" t="s">
        <v>5</v>
      </c>
      <c r="P45" s="4" t="s">
        <v>4</v>
      </c>
      <c r="Q45" s="9" t="s">
        <v>4</v>
      </c>
      <c r="W45">
        <v>44</v>
      </c>
      <c r="X45" s="11">
        <v>0</v>
      </c>
      <c r="Y45" s="12">
        <v>0.11111111111111116</v>
      </c>
    </row>
    <row r="46" spans="1:25" x14ac:dyDescent="0.25">
      <c r="A46" s="1" t="s">
        <v>154</v>
      </c>
      <c r="B46" s="2">
        <v>1.1103305370574889E+18</v>
      </c>
      <c r="C46" s="2">
        <v>1.0946901951762842E+18</v>
      </c>
      <c r="D46" s="2">
        <v>9</v>
      </c>
      <c r="E46" s="2">
        <v>0</v>
      </c>
      <c r="F46" s="2">
        <v>0</v>
      </c>
      <c r="G46" s="2">
        <v>33</v>
      </c>
      <c r="H46" s="2" t="s">
        <v>181</v>
      </c>
      <c r="I46" s="2">
        <f t="shared" si="0"/>
        <v>0.33333333333333326</v>
      </c>
      <c r="J46" s="2">
        <v>1</v>
      </c>
      <c r="K46" s="2" t="s">
        <v>182</v>
      </c>
      <c r="L46" s="2" t="b">
        <v>0</v>
      </c>
      <c r="M46" s="2" t="s">
        <v>3</v>
      </c>
      <c r="N46" s="2" t="s">
        <v>4</v>
      </c>
      <c r="O46" s="2" t="s">
        <v>183</v>
      </c>
      <c r="P46" s="2" t="s">
        <v>184</v>
      </c>
      <c r="Q46" s="8" t="s">
        <v>185</v>
      </c>
      <c r="W46">
        <v>45</v>
      </c>
      <c r="X46" s="10">
        <v>0.38179999999999997</v>
      </c>
      <c r="Y46" s="12">
        <v>0.33333333333333326</v>
      </c>
    </row>
    <row r="47" spans="1:25" x14ac:dyDescent="0.25">
      <c r="A47" s="3" t="s">
        <v>154</v>
      </c>
      <c r="B47" s="4">
        <v>1.1103305365501133E+18</v>
      </c>
      <c r="C47" s="4">
        <v>8.7647463944636416E+17</v>
      </c>
      <c r="D47" s="4">
        <v>5583</v>
      </c>
      <c r="E47" s="4">
        <v>12</v>
      </c>
      <c r="F47" s="4">
        <v>9</v>
      </c>
      <c r="G47" s="4">
        <v>15427</v>
      </c>
      <c r="H47" s="4" t="s">
        <v>186</v>
      </c>
      <c r="I47" s="2">
        <f t="shared" si="0"/>
        <v>-0.11111111111111116</v>
      </c>
      <c r="J47" s="4">
        <v>-1</v>
      </c>
      <c r="K47" s="4" t="s">
        <v>187</v>
      </c>
      <c r="L47" s="4" t="b">
        <v>0</v>
      </c>
      <c r="M47" s="4" t="s">
        <v>3</v>
      </c>
      <c r="N47" s="4" t="s">
        <v>4</v>
      </c>
      <c r="O47" s="4" t="s">
        <v>122</v>
      </c>
      <c r="P47" s="4" t="s">
        <v>123</v>
      </c>
      <c r="Q47" s="9" t="s">
        <v>107</v>
      </c>
      <c r="W47">
        <v>46</v>
      </c>
      <c r="X47" s="11">
        <v>0.2263</v>
      </c>
      <c r="Y47" s="12">
        <v>-0.11111111111111116</v>
      </c>
    </row>
    <row r="48" spans="1:25" x14ac:dyDescent="0.25">
      <c r="A48" s="1" t="s">
        <v>154</v>
      </c>
      <c r="B48" s="2">
        <v>1.110330536143274E+18</v>
      </c>
      <c r="C48" s="2">
        <v>1620115130</v>
      </c>
      <c r="D48" s="2">
        <v>5908</v>
      </c>
      <c r="E48" s="2">
        <v>310</v>
      </c>
      <c r="F48" s="2">
        <v>1167</v>
      </c>
      <c r="G48" s="2">
        <v>14960</v>
      </c>
      <c r="H48" s="2" t="s">
        <v>188</v>
      </c>
      <c r="I48" s="2">
        <f t="shared" si="0"/>
        <v>0.11111111111111116</v>
      </c>
      <c r="J48" s="2">
        <v>0</v>
      </c>
      <c r="K48" s="2" t="s">
        <v>189</v>
      </c>
      <c r="L48" s="2" t="b">
        <v>0</v>
      </c>
      <c r="M48" s="2" t="s">
        <v>3</v>
      </c>
      <c r="N48" s="2" t="s">
        <v>4</v>
      </c>
      <c r="O48" s="2" t="s">
        <v>5</v>
      </c>
      <c r="P48" s="2" t="s">
        <v>4</v>
      </c>
      <c r="Q48" s="8" t="s">
        <v>4</v>
      </c>
      <c r="W48">
        <v>47</v>
      </c>
      <c r="X48" s="10">
        <v>0</v>
      </c>
      <c r="Y48" s="12">
        <v>0.11111111111111116</v>
      </c>
    </row>
    <row r="49" spans="1:25" x14ac:dyDescent="0.25">
      <c r="A49" s="3" t="s">
        <v>190</v>
      </c>
      <c r="B49" s="4">
        <v>1.1103305393561068E+18</v>
      </c>
      <c r="C49" s="4">
        <v>1325414028</v>
      </c>
      <c r="D49" s="4">
        <v>384</v>
      </c>
      <c r="E49" s="4">
        <v>529</v>
      </c>
      <c r="F49" s="4">
        <v>128</v>
      </c>
      <c r="G49" s="4">
        <v>517938</v>
      </c>
      <c r="H49" s="4" t="s">
        <v>191</v>
      </c>
      <c r="I49" s="2">
        <f t="shared" si="0"/>
        <v>0.11111111111111116</v>
      </c>
      <c r="J49" s="4">
        <v>0</v>
      </c>
      <c r="K49" s="4" t="s">
        <v>192</v>
      </c>
      <c r="L49" s="4" t="b">
        <v>0</v>
      </c>
      <c r="M49" s="4" t="s">
        <v>193</v>
      </c>
      <c r="N49" s="4" t="s">
        <v>4</v>
      </c>
      <c r="O49" s="4" t="s">
        <v>194</v>
      </c>
      <c r="P49" s="4" t="s">
        <v>195</v>
      </c>
      <c r="Q49" s="9" t="s">
        <v>163</v>
      </c>
      <c r="W49">
        <v>48</v>
      </c>
      <c r="X49" s="11">
        <v>0.34</v>
      </c>
      <c r="Y49" s="12">
        <v>0.11111111111111116</v>
      </c>
    </row>
    <row r="50" spans="1:25" x14ac:dyDescent="0.25">
      <c r="A50" s="1" t="s">
        <v>190</v>
      </c>
      <c r="B50" s="2">
        <v>1.1103305390918738E+18</v>
      </c>
      <c r="C50" s="2">
        <v>9.2500682142485299E+17</v>
      </c>
      <c r="D50" s="2">
        <v>1388</v>
      </c>
      <c r="E50" s="2">
        <v>11</v>
      </c>
      <c r="F50" s="2">
        <v>0</v>
      </c>
      <c r="G50" s="2">
        <v>12239</v>
      </c>
      <c r="H50" s="2" t="s">
        <v>196</v>
      </c>
      <c r="I50" s="2">
        <f t="shared" si="0"/>
        <v>0.11111111111111116</v>
      </c>
      <c r="J50" s="2">
        <v>0</v>
      </c>
      <c r="K50" s="2" t="s">
        <v>197</v>
      </c>
      <c r="L50" s="2" t="b">
        <v>0</v>
      </c>
      <c r="M50" s="2" t="s">
        <v>3</v>
      </c>
      <c r="N50" s="2" t="s">
        <v>4</v>
      </c>
      <c r="O50" s="2" t="s">
        <v>122</v>
      </c>
      <c r="P50" s="2" t="s">
        <v>123</v>
      </c>
      <c r="Q50" s="8" t="s">
        <v>107</v>
      </c>
      <c r="W50">
        <v>49</v>
      </c>
      <c r="X50" s="10">
        <v>0.2263</v>
      </c>
      <c r="Y50" s="12">
        <v>0.11111111111111116</v>
      </c>
    </row>
    <row r="51" spans="1:25" x14ac:dyDescent="0.25">
      <c r="A51" s="3" t="s">
        <v>190</v>
      </c>
      <c r="B51" s="4">
        <v>1.110330539305812E+18</v>
      </c>
      <c r="C51" s="4">
        <v>2435795120</v>
      </c>
      <c r="D51" s="4">
        <v>144</v>
      </c>
      <c r="E51" s="4">
        <v>111</v>
      </c>
      <c r="F51" s="4">
        <v>211</v>
      </c>
      <c r="G51" s="4">
        <v>568</v>
      </c>
      <c r="H51" s="4" t="s">
        <v>198</v>
      </c>
      <c r="I51" s="2">
        <f t="shared" si="0"/>
        <v>0.55555555555555558</v>
      </c>
      <c r="J51" s="4">
        <v>2</v>
      </c>
      <c r="K51" s="4" t="s">
        <v>199</v>
      </c>
      <c r="L51" s="4" t="b">
        <v>0</v>
      </c>
      <c r="M51" s="4" t="s">
        <v>200</v>
      </c>
      <c r="N51" s="4" t="s">
        <v>4</v>
      </c>
      <c r="O51" s="4" t="s">
        <v>201</v>
      </c>
      <c r="P51" s="4" t="s">
        <v>90</v>
      </c>
      <c r="Q51" s="9" t="s">
        <v>202</v>
      </c>
      <c r="W51">
        <v>50</v>
      </c>
      <c r="X51" s="11">
        <v>0.36120000000000002</v>
      </c>
      <c r="Y51" s="12">
        <v>0.55555555555555558</v>
      </c>
    </row>
    <row r="52" spans="1:25" x14ac:dyDescent="0.25">
      <c r="A52" s="1" t="s">
        <v>190</v>
      </c>
      <c r="B52" s="2">
        <v>1.1103305401279119E+18</v>
      </c>
      <c r="C52" s="2">
        <v>1278579288</v>
      </c>
      <c r="D52" s="2">
        <v>3175</v>
      </c>
      <c r="E52" s="2">
        <v>5001</v>
      </c>
      <c r="F52" s="2">
        <v>43273</v>
      </c>
      <c r="G52" s="2">
        <v>40696</v>
      </c>
      <c r="H52" s="2" t="s">
        <v>124</v>
      </c>
      <c r="I52" s="2">
        <f t="shared" si="0"/>
        <v>0.33333333333333326</v>
      </c>
      <c r="J52" s="2">
        <v>1</v>
      </c>
      <c r="K52" s="2" t="s">
        <v>203</v>
      </c>
      <c r="L52" s="2" t="b">
        <v>0</v>
      </c>
      <c r="M52" s="2" t="s">
        <v>204</v>
      </c>
      <c r="N52" s="2" t="s">
        <v>4</v>
      </c>
      <c r="O52" s="2" t="s">
        <v>205</v>
      </c>
      <c r="P52" s="2" t="s">
        <v>206</v>
      </c>
      <c r="Q52" s="8" t="s">
        <v>207</v>
      </c>
      <c r="W52">
        <v>51</v>
      </c>
      <c r="X52" s="10">
        <v>0.97199999999999998</v>
      </c>
      <c r="Y52" s="12">
        <v>0.33333333333333326</v>
      </c>
    </row>
    <row r="53" spans="1:25" x14ac:dyDescent="0.25">
      <c r="A53" s="3" t="s">
        <v>190</v>
      </c>
      <c r="B53" s="4">
        <v>1.1103305418643374E+18</v>
      </c>
      <c r="C53" s="4">
        <v>3832874775</v>
      </c>
      <c r="D53" s="4">
        <v>240</v>
      </c>
      <c r="E53" s="4">
        <v>278</v>
      </c>
      <c r="F53" s="4">
        <v>0</v>
      </c>
      <c r="G53" s="4">
        <v>29681</v>
      </c>
      <c r="H53" s="4" t="s">
        <v>208</v>
      </c>
      <c r="I53" s="2">
        <f t="shared" si="0"/>
        <v>0.33333333333333326</v>
      </c>
      <c r="J53" s="4">
        <v>1</v>
      </c>
      <c r="K53" s="4" t="s">
        <v>209</v>
      </c>
      <c r="L53" s="4" t="b">
        <v>0</v>
      </c>
      <c r="M53" s="4" t="s">
        <v>3</v>
      </c>
      <c r="N53" s="4" t="s">
        <v>4</v>
      </c>
      <c r="O53" s="4" t="s">
        <v>5</v>
      </c>
      <c r="P53" s="4" t="s">
        <v>4</v>
      </c>
      <c r="Q53" s="9" t="s">
        <v>4</v>
      </c>
      <c r="W53">
        <v>52</v>
      </c>
      <c r="X53" s="11">
        <v>0</v>
      </c>
      <c r="Y53" s="12">
        <v>0.33333333333333326</v>
      </c>
    </row>
    <row r="54" spans="1:25" x14ac:dyDescent="0.25">
      <c r="A54" s="1" t="s">
        <v>190</v>
      </c>
      <c r="B54" s="2">
        <v>1.1103305413023375E+18</v>
      </c>
      <c r="C54" s="2">
        <v>9.2503448088005018E+17</v>
      </c>
      <c r="D54" s="2">
        <v>1468</v>
      </c>
      <c r="E54" s="2">
        <v>11</v>
      </c>
      <c r="F54" s="2">
        <v>0</v>
      </c>
      <c r="G54" s="2">
        <v>12231</v>
      </c>
      <c r="H54" s="2" t="s">
        <v>210</v>
      </c>
      <c r="I54" s="2">
        <f t="shared" si="0"/>
        <v>0.33333333333333326</v>
      </c>
      <c r="J54" s="2">
        <v>1</v>
      </c>
      <c r="K54" s="2" t="s">
        <v>211</v>
      </c>
      <c r="L54" s="2" t="b">
        <v>0</v>
      </c>
      <c r="M54" s="2" t="s">
        <v>3</v>
      </c>
      <c r="N54" s="2" t="s">
        <v>4</v>
      </c>
      <c r="O54" s="2" t="s">
        <v>122</v>
      </c>
      <c r="P54" s="2" t="s">
        <v>123</v>
      </c>
      <c r="Q54" s="8" t="s">
        <v>107</v>
      </c>
      <c r="W54">
        <v>53</v>
      </c>
      <c r="X54" s="10">
        <v>0.2263</v>
      </c>
      <c r="Y54" s="12">
        <v>0.33333333333333326</v>
      </c>
    </row>
    <row r="55" spans="1:25" x14ac:dyDescent="0.25">
      <c r="A55" s="3" t="s">
        <v>190</v>
      </c>
      <c r="B55" s="4">
        <v>1.1103305425857987E+18</v>
      </c>
      <c r="C55" s="4">
        <v>9.0663737168434381E+17</v>
      </c>
      <c r="D55" s="4">
        <v>107</v>
      </c>
      <c r="E55" s="4">
        <v>18</v>
      </c>
      <c r="F55" s="4">
        <v>171</v>
      </c>
      <c r="G55" s="4">
        <v>16344</v>
      </c>
      <c r="H55" s="4" t="s">
        <v>212</v>
      </c>
      <c r="I55" s="2">
        <f t="shared" si="0"/>
        <v>0.11111111111111116</v>
      </c>
      <c r="J55" s="4">
        <v>0</v>
      </c>
      <c r="K55" s="4" t="s">
        <v>213</v>
      </c>
      <c r="L55" s="4" t="b">
        <v>0</v>
      </c>
      <c r="M55" s="4" t="s">
        <v>3</v>
      </c>
      <c r="N55" s="4" t="s">
        <v>4</v>
      </c>
      <c r="O55" s="4" t="s">
        <v>5</v>
      </c>
      <c r="P55" s="4" t="s">
        <v>4</v>
      </c>
      <c r="Q55" s="9" t="s">
        <v>4</v>
      </c>
      <c r="W55">
        <v>54</v>
      </c>
      <c r="X55" s="11">
        <v>0</v>
      </c>
      <c r="Y55" s="12">
        <v>0.11111111111111116</v>
      </c>
    </row>
    <row r="56" spans="1:25" x14ac:dyDescent="0.25">
      <c r="A56" s="1" t="s">
        <v>214</v>
      </c>
      <c r="B56" s="2">
        <v>1.1103305438356152E+18</v>
      </c>
      <c r="C56" s="2">
        <v>9.2503957576822784E+17</v>
      </c>
      <c r="D56" s="2">
        <v>1171</v>
      </c>
      <c r="E56" s="2">
        <v>11</v>
      </c>
      <c r="F56" s="2">
        <v>0</v>
      </c>
      <c r="G56" s="2">
        <v>12232</v>
      </c>
      <c r="H56" s="2" t="s">
        <v>215</v>
      </c>
      <c r="I56" s="2">
        <f t="shared" si="0"/>
        <v>0.11111111111111116</v>
      </c>
      <c r="J56" s="2">
        <v>0</v>
      </c>
      <c r="K56" s="2" t="s">
        <v>216</v>
      </c>
      <c r="L56" s="2" t="b">
        <v>0</v>
      </c>
      <c r="M56" s="2" t="s">
        <v>3</v>
      </c>
      <c r="N56" s="2" t="s">
        <v>4</v>
      </c>
      <c r="O56" s="2" t="s">
        <v>122</v>
      </c>
      <c r="P56" s="2" t="s">
        <v>123</v>
      </c>
      <c r="Q56" s="8" t="s">
        <v>107</v>
      </c>
      <c r="W56">
        <v>55</v>
      </c>
      <c r="X56" s="10">
        <v>0.2263</v>
      </c>
      <c r="Y56" s="12">
        <v>0.11111111111111116</v>
      </c>
    </row>
    <row r="57" spans="1:25" x14ac:dyDescent="0.25">
      <c r="A57" s="3" t="s">
        <v>214</v>
      </c>
      <c r="B57" s="4">
        <v>1.1103305446703268E+18</v>
      </c>
      <c r="C57" s="4">
        <v>9.4349943995572634E+17</v>
      </c>
      <c r="D57" s="4">
        <v>2838</v>
      </c>
      <c r="E57" s="4">
        <v>12</v>
      </c>
      <c r="F57" s="4">
        <v>3</v>
      </c>
      <c r="G57" s="4">
        <v>11017</v>
      </c>
      <c r="H57" s="4" t="s">
        <v>217</v>
      </c>
      <c r="I57" s="2">
        <f t="shared" si="0"/>
        <v>0.11111111111111116</v>
      </c>
      <c r="J57" s="4">
        <v>0</v>
      </c>
      <c r="K57" s="4" t="s">
        <v>218</v>
      </c>
      <c r="L57" s="4" t="b">
        <v>0</v>
      </c>
      <c r="M57" s="4" t="s">
        <v>3</v>
      </c>
      <c r="N57" s="4" t="s">
        <v>4</v>
      </c>
      <c r="O57" s="4" t="s">
        <v>122</v>
      </c>
      <c r="P57" s="4" t="s">
        <v>123</v>
      </c>
      <c r="Q57" s="9" t="s">
        <v>107</v>
      </c>
      <c r="W57">
        <v>56</v>
      </c>
      <c r="X57" s="11">
        <v>0.2263</v>
      </c>
      <c r="Y57" s="12">
        <v>0.11111111111111116</v>
      </c>
    </row>
    <row r="58" spans="1:25" x14ac:dyDescent="0.25">
      <c r="A58" s="1" t="s">
        <v>214</v>
      </c>
      <c r="B58" s="2">
        <v>1.1103305446703677E+18</v>
      </c>
      <c r="C58" s="2">
        <v>1593504410</v>
      </c>
      <c r="D58" s="2">
        <v>6164</v>
      </c>
      <c r="E58" s="2">
        <v>72</v>
      </c>
      <c r="F58" s="2">
        <v>41</v>
      </c>
      <c r="G58" s="2">
        <v>115483</v>
      </c>
      <c r="H58" s="2" t="s">
        <v>219</v>
      </c>
      <c r="I58" s="2">
        <f t="shared" si="0"/>
        <v>0.11111111111111116</v>
      </c>
      <c r="J58" s="2">
        <v>0</v>
      </c>
      <c r="K58" s="2" t="s">
        <v>220</v>
      </c>
      <c r="L58" s="2" t="b">
        <v>0</v>
      </c>
      <c r="M58" s="2" t="s">
        <v>221</v>
      </c>
      <c r="N58" s="2" t="s">
        <v>4</v>
      </c>
      <c r="O58" s="2" t="s">
        <v>5</v>
      </c>
      <c r="P58" s="2" t="s">
        <v>4</v>
      </c>
      <c r="Q58" s="8" t="s">
        <v>4</v>
      </c>
      <c r="W58">
        <v>57</v>
      </c>
      <c r="X58" s="10">
        <v>0</v>
      </c>
      <c r="Y58" s="12">
        <v>0.11111111111111116</v>
      </c>
    </row>
    <row r="59" spans="1:25" x14ac:dyDescent="0.25">
      <c r="A59" s="3" t="s">
        <v>214</v>
      </c>
      <c r="B59" s="4">
        <v>1.1103305455803064E+18</v>
      </c>
      <c r="C59" s="4">
        <v>9.4824954495708774E+17</v>
      </c>
      <c r="D59" s="4">
        <v>188</v>
      </c>
      <c r="E59" s="4">
        <v>11</v>
      </c>
      <c r="F59" s="4">
        <v>0</v>
      </c>
      <c r="G59" s="4">
        <v>8831</v>
      </c>
      <c r="H59" s="4" t="s">
        <v>222</v>
      </c>
      <c r="I59" s="2">
        <f t="shared" si="0"/>
        <v>0.11111111111111116</v>
      </c>
      <c r="J59" s="4">
        <v>0</v>
      </c>
      <c r="K59" s="4" t="s">
        <v>223</v>
      </c>
      <c r="L59" s="4" t="b">
        <v>0</v>
      </c>
      <c r="M59" s="4" t="s">
        <v>3</v>
      </c>
      <c r="N59" s="4" t="s">
        <v>4</v>
      </c>
      <c r="O59" s="4" t="s">
        <v>65</v>
      </c>
      <c r="P59" s="4" t="s">
        <v>224</v>
      </c>
      <c r="Q59" s="9" t="s">
        <v>107</v>
      </c>
      <c r="W59">
        <v>58</v>
      </c>
      <c r="X59" s="11">
        <v>0.2263</v>
      </c>
      <c r="Y59" s="12">
        <v>0.11111111111111116</v>
      </c>
    </row>
    <row r="60" spans="1:25" x14ac:dyDescent="0.25">
      <c r="A60" s="1" t="s">
        <v>214</v>
      </c>
      <c r="B60" s="2">
        <v>1.1103305458865234E+18</v>
      </c>
      <c r="C60" s="2">
        <v>795846</v>
      </c>
      <c r="D60" s="2">
        <v>19956</v>
      </c>
      <c r="E60" s="2">
        <v>289</v>
      </c>
      <c r="F60" s="2">
        <v>2380</v>
      </c>
      <c r="G60" s="2">
        <v>4718</v>
      </c>
      <c r="H60" s="2" t="s">
        <v>225</v>
      </c>
      <c r="I60" s="2">
        <f t="shared" si="0"/>
        <v>0.11111111111111116</v>
      </c>
      <c r="J60" s="2">
        <v>0</v>
      </c>
      <c r="K60" s="2" t="s">
        <v>226</v>
      </c>
      <c r="L60" s="2" t="b">
        <v>0</v>
      </c>
      <c r="M60" s="2" t="s">
        <v>227</v>
      </c>
      <c r="N60" s="2" t="s">
        <v>228</v>
      </c>
      <c r="O60" s="2" t="s">
        <v>229</v>
      </c>
      <c r="P60" s="2" t="s">
        <v>4</v>
      </c>
      <c r="Q60" s="8" t="s">
        <v>230</v>
      </c>
      <c r="W60">
        <v>59</v>
      </c>
      <c r="X60" s="10">
        <v>-0.66620000000000001</v>
      </c>
      <c r="Y60" s="12">
        <v>0.11111111111111116</v>
      </c>
    </row>
    <row r="61" spans="1:25" x14ac:dyDescent="0.25">
      <c r="A61" s="3" t="s">
        <v>231</v>
      </c>
      <c r="B61" s="4">
        <v>1.1103305473001144E+18</v>
      </c>
      <c r="C61" s="4">
        <v>9.4340909812048282E+17</v>
      </c>
      <c r="D61" s="4">
        <v>2541</v>
      </c>
      <c r="E61" s="4">
        <v>131</v>
      </c>
      <c r="F61" s="4">
        <v>17</v>
      </c>
      <c r="G61" s="4">
        <v>20575</v>
      </c>
      <c r="H61" s="4" t="s">
        <v>232</v>
      </c>
      <c r="I61" s="2">
        <f t="shared" si="0"/>
        <v>0.33333333333333326</v>
      </c>
      <c r="J61" s="4">
        <v>1</v>
      </c>
      <c r="K61" s="4" t="s">
        <v>233</v>
      </c>
      <c r="L61" s="4" t="b">
        <v>0</v>
      </c>
      <c r="M61" s="4" t="s">
        <v>234</v>
      </c>
      <c r="N61" s="4" t="s">
        <v>235</v>
      </c>
      <c r="O61" s="4" t="s">
        <v>236</v>
      </c>
      <c r="P61" s="4" t="s">
        <v>237</v>
      </c>
      <c r="Q61" s="9" t="s">
        <v>238</v>
      </c>
      <c r="W61">
        <v>60</v>
      </c>
      <c r="X61" s="11">
        <v>-0.51060000000000005</v>
      </c>
      <c r="Y61" s="12">
        <v>0.33333333333333326</v>
      </c>
    </row>
    <row r="62" spans="1:25" x14ac:dyDescent="0.25">
      <c r="A62" s="1" t="s">
        <v>214</v>
      </c>
      <c r="B62" s="2">
        <v>1.1103305467883028E+18</v>
      </c>
      <c r="C62" s="2">
        <v>9.7738141462153626E+17</v>
      </c>
      <c r="D62" s="2">
        <v>126</v>
      </c>
      <c r="E62" s="2">
        <v>105</v>
      </c>
      <c r="F62" s="2">
        <v>30</v>
      </c>
      <c r="G62" s="2">
        <v>8713</v>
      </c>
      <c r="H62" s="2" t="s">
        <v>239</v>
      </c>
      <c r="I62" s="2">
        <f t="shared" si="0"/>
        <v>0.33333333333333326</v>
      </c>
      <c r="J62" s="2">
        <v>1</v>
      </c>
      <c r="K62" s="2" t="s">
        <v>240</v>
      </c>
      <c r="L62" s="2" t="b">
        <v>0</v>
      </c>
      <c r="M62" s="2" t="s">
        <v>241</v>
      </c>
      <c r="N62" s="2" t="s">
        <v>4</v>
      </c>
      <c r="O62" s="2" t="s">
        <v>5</v>
      </c>
      <c r="P62" s="2" t="s">
        <v>4</v>
      </c>
      <c r="Q62" s="8" t="s">
        <v>4</v>
      </c>
      <c r="W62">
        <v>61</v>
      </c>
      <c r="X62" s="10">
        <v>0</v>
      </c>
      <c r="Y62" s="12">
        <v>0.33333333333333326</v>
      </c>
    </row>
    <row r="63" spans="1:25" x14ac:dyDescent="0.25">
      <c r="A63" s="3" t="s">
        <v>231</v>
      </c>
      <c r="B63" s="4">
        <v>1.1103305478118769E+18</v>
      </c>
      <c r="C63" s="4">
        <v>504041798</v>
      </c>
      <c r="D63" s="4">
        <v>552</v>
      </c>
      <c r="E63" s="4">
        <v>834</v>
      </c>
      <c r="F63" s="4">
        <v>10535</v>
      </c>
      <c r="G63" s="4">
        <v>8163</v>
      </c>
      <c r="H63" s="4" t="s">
        <v>242</v>
      </c>
      <c r="I63" s="2">
        <f t="shared" si="0"/>
        <v>0.11111111111111116</v>
      </c>
      <c r="J63" s="4">
        <v>0</v>
      </c>
      <c r="K63" s="4" t="s">
        <v>243</v>
      </c>
      <c r="L63" s="4" t="b">
        <v>0</v>
      </c>
      <c r="M63" s="4" t="s">
        <v>3</v>
      </c>
      <c r="N63" s="4" t="s">
        <v>4</v>
      </c>
      <c r="O63" s="4" t="s">
        <v>244</v>
      </c>
      <c r="P63" s="4" t="s">
        <v>245</v>
      </c>
      <c r="Q63" s="9" t="s">
        <v>41</v>
      </c>
      <c r="W63">
        <v>62</v>
      </c>
      <c r="X63" s="11">
        <v>0.55740000000000001</v>
      </c>
      <c r="Y63" s="12">
        <v>0.11111111111111116</v>
      </c>
    </row>
    <row r="64" spans="1:25" x14ac:dyDescent="0.25">
      <c r="A64" s="1" t="s">
        <v>231</v>
      </c>
      <c r="B64" s="2">
        <v>1.1103305486631404E+18</v>
      </c>
      <c r="C64" s="2">
        <v>1.0367882792935711E+18</v>
      </c>
      <c r="D64" s="2">
        <v>52</v>
      </c>
      <c r="E64" s="2">
        <v>244</v>
      </c>
      <c r="F64" s="2">
        <v>217</v>
      </c>
      <c r="G64" s="2">
        <v>140</v>
      </c>
      <c r="H64" s="2" t="s">
        <v>246</v>
      </c>
      <c r="I64" s="2">
        <f t="shared" si="0"/>
        <v>-0.11111111111111116</v>
      </c>
      <c r="J64" s="2">
        <v>-1</v>
      </c>
      <c r="K64" s="2" t="s">
        <v>247</v>
      </c>
      <c r="L64" s="2" t="b">
        <v>0</v>
      </c>
      <c r="M64" s="2" t="s">
        <v>3</v>
      </c>
      <c r="N64" s="2" t="s">
        <v>248</v>
      </c>
      <c r="O64" s="2" t="s">
        <v>249</v>
      </c>
      <c r="P64" s="2" t="s">
        <v>4</v>
      </c>
      <c r="Q64" s="8" t="s">
        <v>250</v>
      </c>
      <c r="W64">
        <v>63</v>
      </c>
      <c r="X64" s="10">
        <v>-0.68079999999999996</v>
      </c>
      <c r="Y64" s="12">
        <v>-0.11111111111111116</v>
      </c>
    </row>
    <row r="65" spans="1:25" x14ac:dyDescent="0.25">
      <c r="A65" s="3" t="s">
        <v>231</v>
      </c>
      <c r="B65" s="4">
        <v>1.1103305490280202E+18</v>
      </c>
      <c r="C65" s="4">
        <v>529916796</v>
      </c>
      <c r="D65" s="4">
        <v>826</v>
      </c>
      <c r="E65" s="4">
        <v>3232</v>
      </c>
      <c r="F65" s="4">
        <v>27595</v>
      </c>
      <c r="G65" s="4">
        <v>3245</v>
      </c>
      <c r="H65" s="4" t="s">
        <v>251</v>
      </c>
      <c r="I65" s="2">
        <f t="shared" si="0"/>
        <v>-0.33333333333333337</v>
      </c>
      <c r="J65" s="4">
        <v>-2</v>
      </c>
      <c r="K65" s="4" t="s">
        <v>252</v>
      </c>
      <c r="L65" s="4" t="b">
        <v>0</v>
      </c>
      <c r="M65" s="4" t="s">
        <v>253</v>
      </c>
      <c r="N65" s="4" t="s">
        <v>4</v>
      </c>
      <c r="O65" s="4" t="s">
        <v>254</v>
      </c>
      <c r="P65" s="4" t="s">
        <v>255</v>
      </c>
      <c r="Q65" s="9" t="s">
        <v>256</v>
      </c>
      <c r="W65">
        <v>64</v>
      </c>
      <c r="X65" s="11">
        <v>0.72589999999999999</v>
      </c>
      <c r="Y65" s="12">
        <v>-0.33333333333333337</v>
      </c>
    </row>
    <row r="66" spans="1:25" x14ac:dyDescent="0.25">
      <c r="A66" s="1" t="s">
        <v>231</v>
      </c>
      <c r="B66" s="2">
        <v>1.1103305498377503E+18</v>
      </c>
      <c r="C66" s="2">
        <v>1323280062</v>
      </c>
      <c r="D66" s="2">
        <v>2848</v>
      </c>
      <c r="E66" s="2">
        <v>11</v>
      </c>
      <c r="F66" s="2">
        <v>0</v>
      </c>
      <c r="G66" s="2">
        <v>219788</v>
      </c>
      <c r="H66" s="2" t="s">
        <v>257</v>
      </c>
      <c r="I66" s="2">
        <f t="shared" si="0"/>
        <v>0.11111111111111116</v>
      </c>
      <c r="J66" s="2">
        <v>0</v>
      </c>
      <c r="K66" s="2" t="s">
        <v>258</v>
      </c>
      <c r="L66" s="2" t="b">
        <v>0</v>
      </c>
      <c r="M66" s="2" t="s">
        <v>3</v>
      </c>
      <c r="N66" s="2" t="s">
        <v>4</v>
      </c>
      <c r="O66" s="2" t="s">
        <v>259</v>
      </c>
      <c r="P66" s="2" t="s">
        <v>13</v>
      </c>
      <c r="Q66" s="8" t="s">
        <v>107</v>
      </c>
      <c r="W66">
        <v>65</v>
      </c>
      <c r="X66" s="10">
        <v>0.2263</v>
      </c>
      <c r="Y66" s="12">
        <v>0.11111111111111116</v>
      </c>
    </row>
    <row r="67" spans="1:25" x14ac:dyDescent="0.25">
      <c r="A67" s="3" t="s">
        <v>231</v>
      </c>
      <c r="B67" s="4">
        <v>1.1103305493511414E+18</v>
      </c>
      <c r="C67" s="4">
        <v>9.7967387351908352E+17</v>
      </c>
      <c r="D67" s="4">
        <v>970</v>
      </c>
      <c r="E67" s="4">
        <v>262</v>
      </c>
      <c r="F67" s="4">
        <v>22</v>
      </c>
      <c r="G67" s="4">
        <v>9697</v>
      </c>
      <c r="H67" s="4" t="s">
        <v>260</v>
      </c>
      <c r="I67" s="2">
        <f t="shared" ref="I67:I110" si="1">(((J67-$B$115)/($B$116-$B$115))*2)-1</f>
        <v>0.11111111111111116</v>
      </c>
      <c r="J67" s="4">
        <v>0</v>
      </c>
      <c r="K67" s="4" t="s">
        <v>261</v>
      </c>
      <c r="L67" s="4" t="b">
        <v>0</v>
      </c>
      <c r="M67" s="4" t="s">
        <v>262</v>
      </c>
      <c r="N67" s="4" t="s">
        <v>4</v>
      </c>
      <c r="O67" s="4" t="s">
        <v>5</v>
      </c>
      <c r="P67" s="4" t="s">
        <v>4</v>
      </c>
      <c r="Q67" s="9" t="s">
        <v>4</v>
      </c>
      <c r="W67">
        <v>66</v>
      </c>
      <c r="X67" s="11">
        <v>0</v>
      </c>
      <c r="Y67" s="12">
        <v>0.11111111111111116</v>
      </c>
    </row>
    <row r="68" spans="1:25" x14ac:dyDescent="0.25">
      <c r="A68" s="1" t="s">
        <v>263</v>
      </c>
      <c r="B68" s="2">
        <v>1.1103305513476956E+18</v>
      </c>
      <c r="C68" s="2">
        <v>1.10970568587955E+18</v>
      </c>
      <c r="D68" s="2">
        <v>2</v>
      </c>
      <c r="E68" s="2">
        <v>35</v>
      </c>
      <c r="F68" s="2">
        <v>0</v>
      </c>
      <c r="G68" s="2">
        <v>4</v>
      </c>
      <c r="H68" s="2" t="s">
        <v>264</v>
      </c>
      <c r="I68" s="2">
        <f t="shared" si="1"/>
        <v>0.55555555555555558</v>
      </c>
      <c r="J68" s="2">
        <v>2</v>
      </c>
      <c r="K68" s="2" t="s">
        <v>265</v>
      </c>
      <c r="L68" s="2" t="b">
        <v>0</v>
      </c>
      <c r="M68" s="2" t="s">
        <v>266</v>
      </c>
      <c r="N68" s="2" t="s">
        <v>4</v>
      </c>
      <c r="O68" s="2" t="s">
        <v>267</v>
      </c>
      <c r="P68" s="2" t="s">
        <v>268</v>
      </c>
      <c r="Q68" s="8" t="s">
        <v>269</v>
      </c>
      <c r="W68">
        <v>67</v>
      </c>
      <c r="X68" s="10">
        <v>0.41839999999999999</v>
      </c>
      <c r="Y68" s="12">
        <v>0.55555555555555558</v>
      </c>
    </row>
    <row r="69" spans="1:25" x14ac:dyDescent="0.25">
      <c r="A69" s="3" t="s">
        <v>263</v>
      </c>
      <c r="B69" s="4">
        <v>1.1103305522326979E+18</v>
      </c>
      <c r="C69" s="4">
        <v>1.0385723419980882E+18</v>
      </c>
      <c r="D69" s="4">
        <v>541</v>
      </c>
      <c r="E69" s="4">
        <v>3611</v>
      </c>
      <c r="F69" s="4">
        <v>3806</v>
      </c>
      <c r="G69" s="4">
        <v>2212</v>
      </c>
      <c r="H69" s="4" t="s">
        <v>270</v>
      </c>
      <c r="I69" s="2">
        <f t="shared" si="1"/>
        <v>0.33333333333333326</v>
      </c>
      <c r="J69" s="4">
        <v>1</v>
      </c>
      <c r="K69" s="4" t="s">
        <v>271</v>
      </c>
      <c r="L69" s="4" t="b">
        <v>0</v>
      </c>
      <c r="M69" s="4" t="s">
        <v>272</v>
      </c>
      <c r="N69" s="4" t="s">
        <v>4</v>
      </c>
      <c r="O69" s="4" t="s">
        <v>5</v>
      </c>
      <c r="P69" s="4" t="s">
        <v>4</v>
      </c>
      <c r="Q69" s="9" t="s">
        <v>4</v>
      </c>
      <c r="W69">
        <v>68</v>
      </c>
      <c r="X69" s="11">
        <v>0</v>
      </c>
      <c r="Y69" s="12">
        <v>0.33333333333333326</v>
      </c>
    </row>
    <row r="70" spans="1:25" x14ac:dyDescent="0.25">
      <c r="A70" s="1" t="s">
        <v>263</v>
      </c>
      <c r="B70" s="2">
        <v>1.1103305540194468E+18</v>
      </c>
      <c r="C70" s="2">
        <v>15592151</v>
      </c>
      <c r="D70" s="2">
        <v>7474</v>
      </c>
      <c r="E70" s="2">
        <v>9475</v>
      </c>
      <c r="F70" s="2">
        <v>15453</v>
      </c>
      <c r="G70" s="2">
        <v>177966</v>
      </c>
      <c r="H70" s="2" t="s">
        <v>273</v>
      </c>
      <c r="I70" s="2">
        <f t="shared" si="1"/>
        <v>0.33333333333333326</v>
      </c>
      <c r="J70" s="2">
        <v>1</v>
      </c>
      <c r="K70" s="2" t="s">
        <v>274</v>
      </c>
      <c r="L70" s="2" t="b">
        <v>0</v>
      </c>
      <c r="M70" s="2" t="s">
        <v>32</v>
      </c>
      <c r="N70" s="2" t="s">
        <v>33</v>
      </c>
      <c r="O70" s="2" t="s">
        <v>34</v>
      </c>
      <c r="P70" s="2" t="s">
        <v>35</v>
      </c>
      <c r="Q70" s="8" t="s">
        <v>36</v>
      </c>
      <c r="W70">
        <v>69</v>
      </c>
      <c r="X70" s="10">
        <v>2.58E-2</v>
      </c>
      <c r="Y70" s="12">
        <v>0.33333333333333326</v>
      </c>
    </row>
    <row r="71" spans="1:25" x14ac:dyDescent="0.25">
      <c r="A71" s="3" t="s">
        <v>263</v>
      </c>
      <c r="B71" s="4">
        <v>1.1103305547282678E+18</v>
      </c>
      <c r="C71" s="4">
        <v>8.9285051960088166E+17</v>
      </c>
      <c r="D71" s="4">
        <v>58</v>
      </c>
      <c r="E71" s="4">
        <v>205</v>
      </c>
      <c r="F71" s="4">
        <v>197</v>
      </c>
      <c r="G71" s="4">
        <v>373</v>
      </c>
      <c r="H71" s="4" t="s">
        <v>275</v>
      </c>
      <c r="I71" s="2">
        <f t="shared" si="1"/>
        <v>-0.33333333333333337</v>
      </c>
      <c r="J71" s="4">
        <v>-2</v>
      </c>
      <c r="K71" s="4" t="s">
        <v>276</v>
      </c>
      <c r="L71" s="4" t="b">
        <v>0</v>
      </c>
      <c r="M71" s="4" t="s">
        <v>277</v>
      </c>
      <c r="N71" s="4" t="s">
        <v>278</v>
      </c>
      <c r="O71" s="4" t="s">
        <v>279</v>
      </c>
      <c r="P71" s="4" t="s">
        <v>13</v>
      </c>
      <c r="Q71" s="9" t="s">
        <v>280</v>
      </c>
      <c r="W71">
        <v>70</v>
      </c>
      <c r="X71" s="11">
        <v>-0.58589999999999998</v>
      </c>
      <c r="Y71" s="12">
        <v>-0.33333333333333337</v>
      </c>
    </row>
    <row r="72" spans="1:25" x14ac:dyDescent="0.25">
      <c r="A72" s="1" t="s">
        <v>263</v>
      </c>
      <c r="B72" s="2">
        <v>1.1103305552777339E+18</v>
      </c>
      <c r="C72" s="2">
        <v>9.5509941516080333E+17</v>
      </c>
      <c r="D72" s="2">
        <v>5674</v>
      </c>
      <c r="E72" s="2">
        <v>21</v>
      </c>
      <c r="F72" s="2">
        <v>272</v>
      </c>
      <c r="G72" s="2">
        <v>10219</v>
      </c>
      <c r="H72" s="2" t="s">
        <v>281</v>
      </c>
      <c r="I72" s="2">
        <f t="shared" si="1"/>
        <v>0.11111111111111116</v>
      </c>
      <c r="J72" s="2">
        <v>0</v>
      </c>
      <c r="K72" s="2" t="s">
        <v>282</v>
      </c>
      <c r="L72" s="2" t="b">
        <v>0</v>
      </c>
      <c r="M72" s="2" t="s">
        <v>3</v>
      </c>
      <c r="N72" s="2" t="s">
        <v>4</v>
      </c>
      <c r="O72" s="2" t="s">
        <v>283</v>
      </c>
      <c r="P72" s="2" t="s">
        <v>284</v>
      </c>
      <c r="Q72" s="8" t="s">
        <v>177</v>
      </c>
      <c r="W72">
        <v>71</v>
      </c>
      <c r="X72" s="10">
        <v>0.20230000000000001</v>
      </c>
      <c r="Y72" s="12">
        <v>0.11111111111111116</v>
      </c>
    </row>
    <row r="73" spans="1:25" x14ac:dyDescent="0.25">
      <c r="A73" s="3" t="s">
        <v>285</v>
      </c>
      <c r="B73" s="4">
        <v>1.110330556170924E+18</v>
      </c>
      <c r="C73" s="4">
        <v>1.1096829309624238E+18</v>
      </c>
      <c r="D73" s="4">
        <v>4</v>
      </c>
      <c r="E73" s="4">
        <v>45</v>
      </c>
      <c r="F73" s="4">
        <v>0</v>
      </c>
      <c r="G73" s="4">
        <v>7</v>
      </c>
      <c r="H73" s="4" t="s">
        <v>286</v>
      </c>
      <c r="I73" s="2">
        <f t="shared" si="1"/>
        <v>0.77777777777777768</v>
      </c>
      <c r="J73" s="4">
        <v>3</v>
      </c>
      <c r="K73" s="4" t="s">
        <v>287</v>
      </c>
      <c r="L73" s="4" t="b">
        <v>0</v>
      </c>
      <c r="M73" s="4" t="s">
        <v>288</v>
      </c>
      <c r="N73" s="4" t="s">
        <v>289</v>
      </c>
      <c r="O73" s="4" t="s">
        <v>290</v>
      </c>
      <c r="P73" s="4" t="s">
        <v>291</v>
      </c>
      <c r="Q73" s="9" t="s">
        <v>292</v>
      </c>
      <c r="W73">
        <v>72</v>
      </c>
      <c r="X73" s="11">
        <v>0.29239999999999999</v>
      </c>
      <c r="Y73" s="12">
        <v>0.77777777777777768</v>
      </c>
    </row>
    <row r="74" spans="1:25" x14ac:dyDescent="0.25">
      <c r="A74" s="1" t="s">
        <v>285</v>
      </c>
      <c r="B74" s="2">
        <v>1.1103305569260544E+18</v>
      </c>
      <c r="C74" s="2">
        <v>9.5625359907961242E+17</v>
      </c>
      <c r="D74" s="2">
        <v>247</v>
      </c>
      <c r="E74" s="2">
        <v>43</v>
      </c>
      <c r="F74" s="2">
        <v>0</v>
      </c>
      <c r="G74" s="2">
        <v>1145</v>
      </c>
      <c r="H74" s="2" t="s">
        <v>293</v>
      </c>
      <c r="I74" s="2">
        <f t="shared" si="1"/>
        <v>0.33333333333333326</v>
      </c>
      <c r="J74" s="2">
        <v>1</v>
      </c>
      <c r="K74" s="2" t="s">
        <v>294</v>
      </c>
      <c r="L74" s="2" t="b">
        <v>0</v>
      </c>
      <c r="M74" s="2" t="s">
        <v>3</v>
      </c>
      <c r="N74" s="2" t="s">
        <v>4</v>
      </c>
      <c r="O74" s="2" t="s">
        <v>5</v>
      </c>
      <c r="P74" s="2" t="s">
        <v>4</v>
      </c>
      <c r="Q74" s="8" t="s">
        <v>4</v>
      </c>
      <c r="W74">
        <v>73</v>
      </c>
      <c r="X74" s="10">
        <v>0</v>
      </c>
      <c r="Y74" s="12">
        <v>0.33333333333333326</v>
      </c>
    </row>
    <row r="75" spans="1:25" x14ac:dyDescent="0.25">
      <c r="A75" s="3" t="s">
        <v>285</v>
      </c>
      <c r="B75" s="4">
        <v>1.110330558717014E+18</v>
      </c>
      <c r="C75" s="4">
        <v>8.2189524945483366E+17</v>
      </c>
      <c r="D75" s="4">
        <v>4640</v>
      </c>
      <c r="E75" s="4">
        <v>4937</v>
      </c>
      <c r="F75" s="4">
        <v>299</v>
      </c>
      <c r="G75" s="4">
        <v>147681</v>
      </c>
      <c r="H75" s="4" t="s">
        <v>295</v>
      </c>
      <c r="I75" s="2">
        <f t="shared" si="1"/>
        <v>0.11111111111111116</v>
      </c>
      <c r="J75" s="4">
        <v>0</v>
      </c>
      <c r="K75" s="4" t="s">
        <v>296</v>
      </c>
      <c r="L75" s="4" t="b">
        <v>0</v>
      </c>
      <c r="M75" s="4" t="s">
        <v>297</v>
      </c>
      <c r="N75" s="4" t="s">
        <v>298</v>
      </c>
      <c r="O75" s="4" t="s">
        <v>299</v>
      </c>
      <c r="P75" s="4" t="s">
        <v>300</v>
      </c>
      <c r="Q75" s="9" t="s">
        <v>301</v>
      </c>
      <c r="W75">
        <v>74</v>
      </c>
      <c r="X75" s="11">
        <v>0.4929</v>
      </c>
      <c r="Y75" s="12">
        <v>0.11111111111111116</v>
      </c>
    </row>
    <row r="76" spans="1:25" x14ac:dyDescent="0.25">
      <c r="A76" s="1" t="s">
        <v>302</v>
      </c>
      <c r="B76" s="2">
        <v>1.1103305595643412E+18</v>
      </c>
      <c r="C76" s="2">
        <v>1.1097081423787131E+18</v>
      </c>
      <c r="D76" s="2">
        <v>1</v>
      </c>
      <c r="E76" s="2">
        <v>42</v>
      </c>
      <c r="F76" s="2">
        <v>0</v>
      </c>
      <c r="G76" s="2">
        <v>7</v>
      </c>
      <c r="H76" s="2" t="s">
        <v>303</v>
      </c>
      <c r="I76" s="2">
        <f t="shared" si="1"/>
        <v>0.33333333333333326</v>
      </c>
      <c r="J76" s="2">
        <v>1</v>
      </c>
      <c r="K76" s="2" t="s">
        <v>304</v>
      </c>
      <c r="L76" s="2" t="b">
        <v>0</v>
      </c>
      <c r="M76" s="2" t="s">
        <v>305</v>
      </c>
      <c r="N76" s="2" t="s">
        <v>4</v>
      </c>
      <c r="O76" s="2" t="s">
        <v>267</v>
      </c>
      <c r="P76" s="2" t="s">
        <v>268</v>
      </c>
      <c r="Q76" s="8" t="s">
        <v>269</v>
      </c>
      <c r="W76">
        <v>75</v>
      </c>
      <c r="X76" s="10">
        <v>0.41839999999999999</v>
      </c>
      <c r="Y76" s="12">
        <v>0.33333333333333326</v>
      </c>
    </row>
    <row r="77" spans="1:25" x14ac:dyDescent="0.25">
      <c r="A77" s="3" t="s">
        <v>302</v>
      </c>
      <c r="B77" s="4">
        <v>1.1103305630413373E+18</v>
      </c>
      <c r="C77" s="4">
        <v>8.8231932058752614E+17</v>
      </c>
      <c r="D77" s="4">
        <v>171</v>
      </c>
      <c r="E77" s="4">
        <v>104</v>
      </c>
      <c r="F77" s="4">
        <v>3</v>
      </c>
      <c r="G77" s="4">
        <v>13963</v>
      </c>
      <c r="H77" s="4" t="s">
        <v>306</v>
      </c>
      <c r="I77" s="2">
        <f t="shared" si="1"/>
        <v>0.11111111111111116</v>
      </c>
      <c r="J77" s="4">
        <v>0</v>
      </c>
      <c r="K77" s="4" t="s">
        <v>307</v>
      </c>
      <c r="L77" s="4" t="b">
        <v>0</v>
      </c>
      <c r="M77" s="4" t="s">
        <v>3</v>
      </c>
      <c r="N77" s="4" t="s">
        <v>4</v>
      </c>
      <c r="O77" s="4" t="s">
        <v>5</v>
      </c>
      <c r="P77" s="4" t="s">
        <v>4</v>
      </c>
      <c r="Q77" s="9" t="s">
        <v>4</v>
      </c>
      <c r="W77">
        <v>76</v>
      </c>
      <c r="X77" s="11">
        <v>0</v>
      </c>
      <c r="Y77" s="12">
        <v>0.11111111111111116</v>
      </c>
    </row>
    <row r="78" spans="1:25" x14ac:dyDescent="0.25">
      <c r="A78" s="1" t="s">
        <v>308</v>
      </c>
      <c r="B78" s="2">
        <v>1.1103305674244383E+18</v>
      </c>
      <c r="C78" s="2">
        <v>9.687960065769472E+17</v>
      </c>
      <c r="D78" s="2">
        <v>2804</v>
      </c>
      <c r="E78" s="2">
        <v>0</v>
      </c>
      <c r="F78" s="2">
        <v>19</v>
      </c>
      <c r="G78" s="2">
        <v>6690</v>
      </c>
      <c r="H78" s="2" t="s">
        <v>309</v>
      </c>
      <c r="I78" s="2">
        <f t="shared" si="1"/>
        <v>0.11111111111111116</v>
      </c>
      <c r="J78" s="2">
        <v>0</v>
      </c>
      <c r="K78" s="2" t="s">
        <v>310</v>
      </c>
      <c r="L78" s="2" t="b">
        <v>0</v>
      </c>
      <c r="M78" s="2" t="s">
        <v>311</v>
      </c>
      <c r="N78" s="2" t="s">
        <v>4</v>
      </c>
      <c r="O78" s="2" t="s">
        <v>312</v>
      </c>
      <c r="P78" s="2" t="s">
        <v>64</v>
      </c>
      <c r="Q78" s="8" t="s">
        <v>107</v>
      </c>
      <c r="W78">
        <v>77</v>
      </c>
      <c r="X78" s="10">
        <v>0.2263</v>
      </c>
      <c r="Y78" s="12">
        <v>0.11111111111111116</v>
      </c>
    </row>
    <row r="79" spans="1:25" x14ac:dyDescent="0.25">
      <c r="A79" s="3" t="s">
        <v>313</v>
      </c>
      <c r="B79" s="4">
        <v>1.1103305689763185E+18</v>
      </c>
      <c r="C79" s="4">
        <v>9.687960065769472E+17</v>
      </c>
      <c r="D79" s="4">
        <v>2804</v>
      </c>
      <c r="E79" s="4">
        <v>0</v>
      </c>
      <c r="F79" s="4">
        <v>19</v>
      </c>
      <c r="G79" s="4">
        <v>6691</v>
      </c>
      <c r="H79" s="4" t="s">
        <v>309</v>
      </c>
      <c r="I79" s="2">
        <f t="shared" si="1"/>
        <v>0.11111111111111116</v>
      </c>
      <c r="J79" s="4">
        <v>0</v>
      </c>
      <c r="K79" s="4" t="s">
        <v>314</v>
      </c>
      <c r="L79" s="4" t="b">
        <v>0</v>
      </c>
      <c r="M79" s="4" t="s">
        <v>315</v>
      </c>
      <c r="N79" s="4" t="s">
        <v>4</v>
      </c>
      <c r="O79" s="4" t="s">
        <v>312</v>
      </c>
      <c r="P79" s="4" t="s">
        <v>64</v>
      </c>
      <c r="Q79" s="9" t="s">
        <v>107</v>
      </c>
      <c r="W79">
        <v>78</v>
      </c>
      <c r="X79" s="11">
        <v>0.2263</v>
      </c>
      <c r="Y79" s="12">
        <v>0.11111111111111116</v>
      </c>
    </row>
    <row r="80" spans="1:25" x14ac:dyDescent="0.25">
      <c r="A80" s="1" t="s">
        <v>313</v>
      </c>
      <c r="B80" s="2">
        <v>1.1103305708301722E+18</v>
      </c>
      <c r="C80" s="2">
        <v>7.4776747273709568E+17</v>
      </c>
      <c r="D80" s="2">
        <v>1</v>
      </c>
      <c r="E80" s="2">
        <v>10</v>
      </c>
      <c r="F80" s="2">
        <v>10</v>
      </c>
      <c r="G80" s="2">
        <v>81108</v>
      </c>
      <c r="H80" s="2" t="s">
        <v>316</v>
      </c>
      <c r="I80" s="2">
        <f t="shared" si="1"/>
        <v>0.11111111111111116</v>
      </c>
      <c r="J80" s="2">
        <v>0</v>
      </c>
      <c r="K80" s="2" t="s">
        <v>317</v>
      </c>
      <c r="L80" s="2" t="b">
        <v>0</v>
      </c>
      <c r="M80" s="2" t="s">
        <v>3</v>
      </c>
      <c r="N80" s="2" t="s">
        <v>4</v>
      </c>
      <c r="O80" s="2" t="s">
        <v>5</v>
      </c>
      <c r="P80" s="2" t="s">
        <v>4</v>
      </c>
      <c r="Q80" s="8" t="s">
        <v>4</v>
      </c>
      <c r="W80">
        <v>79</v>
      </c>
      <c r="X80" s="10">
        <v>0</v>
      </c>
      <c r="Y80" s="12">
        <v>0.11111111111111116</v>
      </c>
    </row>
    <row r="81" spans="1:25" x14ac:dyDescent="0.25">
      <c r="A81" s="3" t="s">
        <v>313</v>
      </c>
      <c r="B81" s="4">
        <v>1.110330570192683E+18</v>
      </c>
      <c r="C81" s="4">
        <v>9.7967387351908352E+17</v>
      </c>
      <c r="D81" s="4">
        <v>970</v>
      </c>
      <c r="E81" s="4">
        <v>262</v>
      </c>
      <c r="F81" s="4">
        <v>22</v>
      </c>
      <c r="G81" s="4">
        <v>9698</v>
      </c>
      <c r="H81" s="4" t="s">
        <v>260</v>
      </c>
      <c r="I81" s="2">
        <f t="shared" si="1"/>
        <v>0.77777777777777768</v>
      </c>
      <c r="J81" s="4">
        <v>3</v>
      </c>
      <c r="K81" s="4" t="s">
        <v>318</v>
      </c>
      <c r="L81" s="4" t="b">
        <v>0</v>
      </c>
      <c r="M81" s="4" t="s">
        <v>319</v>
      </c>
      <c r="N81" s="4" t="s">
        <v>4</v>
      </c>
      <c r="O81" s="4" t="s">
        <v>320</v>
      </c>
      <c r="P81" s="4" t="s">
        <v>321</v>
      </c>
      <c r="Q81" s="9" t="s">
        <v>322</v>
      </c>
      <c r="W81">
        <v>80</v>
      </c>
      <c r="X81" s="11">
        <v>0.31819999999999998</v>
      </c>
      <c r="Y81" s="12">
        <v>0.77777777777777768</v>
      </c>
    </row>
    <row r="82" spans="1:25" x14ac:dyDescent="0.25">
      <c r="A82" s="1" t="s">
        <v>323</v>
      </c>
      <c r="B82" s="2">
        <v>1.1103305734474179E+18</v>
      </c>
      <c r="C82" s="2">
        <v>9.3883293248726221E+17</v>
      </c>
      <c r="D82" s="2">
        <v>6</v>
      </c>
      <c r="E82" s="2">
        <v>33</v>
      </c>
      <c r="F82" s="2">
        <v>3</v>
      </c>
      <c r="G82" s="2">
        <v>12383</v>
      </c>
      <c r="H82" s="2" t="s">
        <v>324</v>
      </c>
      <c r="I82" s="2">
        <f t="shared" si="1"/>
        <v>0.33333333333333326</v>
      </c>
      <c r="J82" s="2">
        <v>1</v>
      </c>
      <c r="K82" s="2" t="s">
        <v>325</v>
      </c>
      <c r="L82" s="2" t="b">
        <v>0</v>
      </c>
      <c r="M82" s="2" t="s">
        <v>326</v>
      </c>
      <c r="N82" s="2" t="s">
        <v>4</v>
      </c>
      <c r="O82" s="2" t="s">
        <v>5</v>
      </c>
      <c r="P82" s="2" t="s">
        <v>4</v>
      </c>
      <c r="Q82" s="8" t="s">
        <v>4</v>
      </c>
      <c r="W82">
        <v>81</v>
      </c>
      <c r="X82" s="10">
        <v>0</v>
      </c>
      <c r="Y82" s="12">
        <v>0.33333333333333326</v>
      </c>
    </row>
    <row r="83" spans="1:25" x14ac:dyDescent="0.25">
      <c r="A83" s="3" t="s">
        <v>323</v>
      </c>
      <c r="B83" s="4">
        <v>1.1103305748693524E+18</v>
      </c>
      <c r="C83" s="4">
        <v>8.4644109070621491E+17</v>
      </c>
      <c r="D83" s="4">
        <v>1789</v>
      </c>
      <c r="E83" s="4">
        <v>2256</v>
      </c>
      <c r="F83" s="4">
        <v>7864</v>
      </c>
      <c r="G83" s="4">
        <v>10360</v>
      </c>
      <c r="H83" s="4" t="s">
        <v>327</v>
      </c>
      <c r="I83" s="2">
        <f t="shared" si="1"/>
        <v>0.11111111111111116</v>
      </c>
      <c r="J83" s="4">
        <v>0</v>
      </c>
      <c r="K83" s="4" t="s">
        <v>328</v>
      </c>
      <c r="L83" s="4" t="b">
        <v>0</v>
      </c>
      <c r="M83" s="4" t="s">
        <v>3</v>
      </c>
      <c r="N83" s="4" t="s">
        <v>4</v>
      </c>
      <c r="O83" s="4" t="s">
        <v>5</v>
      </c>
      <c r="P83" s="4" t="s">
        <v>4</v>
      </c>
      <c r="Q83" s="9" t="s">
        <v>4</v>
      </c>
      <c r="W83">
        <v>82</v>
      </c>
      <c r="X83" s="11">
        <v>0</v>
      </c>
      <c r="Y83" s="12">
        <v>0.11111111111111116</v>
      </c>
    </row>
    <row r="84" spans="1:25" x14ac:dyDescent="0.25">
      <c r="A84" s="1" t="s">
        <v>329</v>
      </c>
      <c r="B84" s="2">
        <v>1.1103305828426465E+18</v>
      </c>
      <c r="C84" s="2">
        <v>251663248</v>
      </c>
      <c r="D84" s="2">
        <v>40127</v>
      </c>
      <c r="E84" s="2">
        <v>22443</v>
      </c>
      <c r="F84" s="2">
        <v>1506</v>
      </c>
      <c r="G84" s="2">
        <v>668061</v>
      </c>
      <c r="H84" s="2" t="s">
        <v>330</v>
      </c>
      <c r="I84" s="2">
        <f t="shared" si="1"/>
        <v>0.33333333333333326</v>
      </c>
      <c r="J84" s="2">
        <v>1</v>
      </c>
      <c r="K84" s="2" t="s">
        <v>331</v>
      </c>
      <c r="L84" s="2" t="b">
        <v>0</v>
      </c>
      <c r="M84" s="2" t="s">
        <v>3</v>
      </c>
      <c r="N84" s="2" t="s">
        <v>4</v>
      </c>
      <c r="O84" s="2" t="s">
        <v>5</v>
      </c>
      <c r="P84" s="2" t="s">
        <v>4</v>
      </c>
      <c r="Q84" s="8" t="s">
        <v>4</v>
      </c>
      <c r="W84">
        <v>83</v>
      </c>
      <c r="X84" s="10">
        <v>0</v>
      </c>
      <c r="Y84" s="12">
        <v>0.33333333333333326</v>
      </c>
    </row>
    <row r="85" spans="1:25" x14ac:dyDescent="0.25">
      <c r="A85" s="3" t="s">
        <v>332</v>
      </c>
      <c r="B85" s="4">
        <v>1.1103305856066888E+18</v>
      </c>
      <c r="C85" s="4">
        <v>1325414028</v>
      </c>
      <c r="D85" s="4">
        <v>384</v>
      </c>
      <c r="E85" s="4">
        <v>529</v>
      </c>
      <c r="F85" s="4">
        <v>128</v>
      </c>
      <c r="G85" s="4">
        <v>517946</v>
      </c>
      <c r="H85" s="4" t="s">
        <v>191</v>
      </c>
      <c r="I85" s="2">
        <f t="shared" si="1"/>
        <v>0.11111111111111116</v>
      </c>
      <c r="J85" s="4">
        <v>0</v>
      </c>
      <c r="K85" s="4" t="s">
        <v>333</v>
      </c>
      <c r="L85" s="4" t="b">
        <v>0</v>
      </c>
      <c r="M85" s="4" t="s">
        <v>334</v>
      </c>
      <c r="N85" s="4" t="s">
        <v>4</v>
      </c>
      <c r="O85" s="4" t="s">
        <v>335</v>
      </c>
      <c r="P85" s="4" t="s">
        <v>336</v>
      </c>
      <c r="Q85" s="9" t="s">
        <v>337</v>
      </c>
      <c r="W85">
        <v>84</v>
      </c>
      <c r="X85" s="11">
        <v>0.65969999999999995</v>
      </c>
      <c r="Y85" s="12">
        <v>0.11111111111111116</v>
      </c>
    </row>
    <row r="86" spans="1:25" x14ac:dyDescent="0.25">
      <c r="A86" s="1" t="s">
        <v>332</v>
      </c>
      <c r="B86" s="2">
        <v>1.1103305879597384E+18</v>
      </c>
      <c r="C86" s="2">
        <v>9.2555645916071936E+17</v>
      </c>
      <c r="D86" s="2">
        <v>17855</v>
      </c>
      <c r="E86" s="2">
        <v>19134</v>
      </c>
      <c r="F86" s="2">
        <v>41151</v>
      </c>
      <c r="G86" s="2">
        <v>140354</v>
      </c>
      <c r="H86" s="2" t="s">
        <v>338</v>
      </c>
      <c r="I86" s="2">
        <f t="shared" si="1"/>
        <v>0.11111111111111116</v>
      </c>
      <c r="J86" s="2">
        <v>0</v>
      </c>
      <c r="K86" s="2" t="s">
        <v>339</v>
      </c>
      <c r="L86" s="2" t="b">
        <v>0</v>
      </c>
      <c r="M86" s="2" t="s">
        <v>3</v>
      </c>
      <c r="N86" s="2" t="s">
        <v>4</v>
      </c>
      <c r="O86" s="2" t="s">
        <v>5</v>
      </c>
      <c r="P86" s="2" t="s">
        <v>4</v>
      </c>
      <c r="Q86" s="8" t="s">
        <v>4</v>
      </c>
      <c r="W86">
        <v>85</v>
      </c>
      <c r="X86" s="10">
        <v>0</v>
      </c>
      <c r="Y86" s="12">
        <v>0.11111111111111116</v>
      </c>
    </row>
    <row r="87" spans="1:25" x14ac:dyDescent="0.25">
      <c r="A87" s="3" t="s">
        <v>340</v>
      </c>
      <c r="B87" s="4">
        <v>1.1103305889328579E+18</v>
      </c>
      <c r="C87" s="4">
        <v>9.2108287583911936E+17</v>
      </c>
      <c r="D87" s="4">
        <v>1384</v>
      </c>
      <c r="E87" s="4">
        <v>3</v>
      </c>
      <c r="F87" s="4">
        <v>373</v>
      </c>
      <c r="G87" s="4">
        <v>90092</v>
      </c>
      <c r="H87" s="4" t="s">
        <v>341</v>
      </c>
      <c r="I87" s="2">
        <f t="shared" si="1"/>
        <v>0.11111111111111116</v>
      </c>
      <c r="J87" s="4">
        <v>0</v>
      </c>
      <c r="K87" s="4" t="s">
        <v>342</v>
      </c>
      <c r="L87" s="4" t="b">
        <v>0</v>
      </c>
      <c r="M87" s="4" t="s">
        <v>343</v>
      </c>
      <c r="N87" s="4" t="s">
        <v>344</v>
      </c>
      <c r="O87" s="4" t="s">
        <v>345</v>
      </c>
      <c r="P87" s="4" t="s">
        <v>255</v>
      </c>
      <c r="Q87" s="9" t="s">
        <v>346</v>
      </c>
      <c r="W87">
        <v>86</v>
      </c>
      <c r="X87" s="11">
        <v>0.51060000000000005</v>
      </c>
      <c r="Y87" s="12">
        <v>0.11111111111111116</v>
      </c>
    </row>
    <row r="88" spans="1:25" x14ac:dyDescent="0.25">
      <c r="A88" s="1" t="s">
        <v>340</v>
      </c>
      <c r="B88" s="2">
        <v>1.1103305900692972E+18</v>
      </c>
      <c r="C88" s="2">
        <v>9.6527077212511437E+17</v>
      </c>
      <c r="D88" s="2">
        <v>961</v>
      </c>
      <c r="E88" s="2">
        <v>870</v>
      </c>
      <c r="F88" s="2">
        <v>988</v>
      </c>
      <c r="G88" s="2">
        <v>45941</v>
      </c>
      <c r="H88" s="2" t="s">
        <v>347</v>
      </c>
      <c r="I88" s="2">
        <f t="shared" si="1"/>
        <v>0.11111111111111116</v>
      </c>
      <c r="J88" s="2">
        <v>0</v>
      </c>
      <c r="K88" s="2" t="s">
        <v>348</v>
      </c>
      <c r="L88" s="2" t="b">
        <v>0</v>
      </c>
      <c r="M88" s="2" t="s">
        <v>349</v>
      </c>
      <c r="N88" s="2" t="s">
        <v>4</v>
      </c>
      <c r="O88" s="2" t="s">
        <v>290</v>
      </c>
      <c r="P88" s="2" t="s">
        <v>350</v>
      </c>
      <c r="Q88" s="8" t="s">
        <v>351</v>
      </c>
      <c r="W88">
        <v>87</v>
      </c>
      <c r="X88" s="10">
        <v>0.5423</v>
      </c>
      <c r="Y88" s="12">
        <v>0.11111111111111116</v>
      </c>
    </row>
    <row r="89" spans="1:25" x14ac:dyDescent="0.25">
      <c r="A89" s="3" t="s">
        <v>340</v>
      </c>
      <c r="B89" s="4">
        <v>1.110330591059284E+18</v>
      </c>
      <c r="C89" s="4">
        <v>9.2108287583911936E+17</v>
      </c>
      <c r="D89" s="4">
        <v>1384</v>
      </c>
      <c r="E89" s="4">
        <v>3</v>
      </c>
      <c r="F89" s="4">
        <v>373</v>
      </c>
      <c r="G89" s="4">
        <v>90093</v>
      </c>
      <c r="H89" s="4" t="s">
        <v>341</v>
      </c>
      <c r="I89" s="2">
        <f t="shared" si="1"/>
        <v>0.11111111111111116</v>
      </c>
      <c r="J89" s="4">
        <v>0</v>
      </c>
      <c r="K89" s="4" t="s">
        <v>352</v>
      </c>
      <c r="L89" s="4" t="b">
        <v>0</v>
      </c>
      <c r="M89" s="4" t="s">
        <v>353</v>
      </c>
      <c r="N89" s="4" t="s">
        <v>4</v>
      </c>
      <c r="O89" s="4" t="s">
        <v>354</v>
      </c>
      <c r="P89" s="4" t="s">
        <v>355</v>
      </c>
      <c r="Q89" s="9" t="s">
        <v>177</v>
      </c>
      <c r="W89">
        <v>88</v>
      </c>
      <c r="X89" s="11">
        <v>0.20230000000000001</v>
      </c>
      <c r="Y89" s="12">
        <v>0.11111111111111116</v>
      </c>
    </row>
    <row r="90" spans="1:25" x14ac:dyDescent="0.25">
      <c r="A90" s="1" t="s">
        <v>340</v>
      </c>
      <c r="B90" s="2">
        <v>1.1103305910299812E+18</v>
      </c>
      <c r="C90" s="2">
        <v>9.7967387351908352E+17</v>
      </c>
      <c r="D90" s="2">
        <v>970</v>
      </c>
      <c r="E90" s="2">
        <v>262</v>
      </c>
      <c r="F90" s="2">
        <v>22</v>
      </c>
      <c r="G90" s="2">
        <v>9699</v>
      </c>
      <c r="H90" s="2" t="s">
        <v>260</v>
      </c>
      <c r="I90" s="2">
        <f t="shared" si="1"/>
        <v>0.55555555555555558</v>
      </c>
      <c r="J90" s="2">
        <v>2</v>
      </c>
      <c r="K90" s="2" t="s">
        <v>356</v>
      </c>
      <c r="L90" s="2" t="b">
        <v>0</v>
      </c>
      <c r="M90" s="2" t="s">
        <v>357</v>
      </c>
      <c r="N90" s="2" t="s">
        <v>4</v>
      </c>
      <c r="O90" s="2" t="s">
        <v>320</v>
      </c>
      <c r="P90" s="2" t="s">
        <v>321</v>
      </c>
      <c r="Q90" s="8" t="s">
        <v>322</v>
      </c>
      <c r="W90">
        <v>89</v>
      </c>
      <c r="X90" s="10">
        <v>0.31819999999999998</v>
      </c>
      <c r="Y90" s="12">
        <v>0.55555555555555558</v>
      </c>
    </row>
    <row r="91" spans="1:25" x14ac:dyDescent="0.25">
      <c r="A91" s="3" t="s">
        <v>358</v>
      </c>
      <c r="B91" s="4">
        <v>1.110330593873707E+18</v>
      </c>
      <c r="C91" s="4">
        <v>1325414028</v>
      </c>
      <c r="D91" s="4">
        <v>384</v>
      </c>
      <c r="E91" s="4">
        <v>529</v>
      </c>
      <c r="F91" s="4">
        <v>128</v>
      </c>
      <c r="G91" s="4">
        <v>517948</v>
      </c>
      <c r="H91" s="4" t="s">
        <v>191</v>
      </c>
      <c r="I91" s="2">
        <f t="shared" si="1"/>
        <v>0.11111111111111116</v>
      </c>
      <c r="J91" s="4">
        <v>0</v>
      </c>
      <c r="K91" s="4" t="s">
        <v>359</v>
      </c>
      <c r="L91" s="4" t="b">
        <v>0</v>
      </c>
      <c r="M91" s="4" t="s">
        <v>360</v>
      </c>
      <c r="N91" s="4" t="s">
        <v>4</v>
      </c>
      <c r="O91" s="4" t="s">
        <v>361</v>
      </c>
      <c r="P91" s="4" t="s">
        <v>362</v>
      </c>
      <c r="Q91" s="9" t="s">
        <v>107</v>
      </c>
      <c r="W91">
        <v>90</v>
      </c>
      <c r="X91" s="11">
        <v>0.2263</v>
      </c>
      <c r="Y91" s="12">
        <v>0.11111111111111116</v>
      </c>
    </row>
    <row r="92" spans="1:25" x14ac:dyDescent="0.25">
      <c r="A92" s="1" t="s">
        <v>358</v>
      </c>
      <c r="B92" s="2">
        <v>1.1103305941295964E+18</v>
      </c>
      <c r="C92" s="2">
        <v>9.4872320008237466E+17</v>
      </c>
      <c r="D92" s="2">
        <v>10647</v>
      </c>
      <c r="E92" s="2">
        <v>1650</v>
      </c>
      <c r="F92" s="2">
        <v>166</v>
      </c>
      <c r="G92" s="2">
        <v>9231</v>
      </c>
      <c r="H92" s="2" t="s">
        <v>363</v>
      </c>
      <c r="I92" s="2">
        <f t="shared" si="1"/>
        <v>0.33333333333333326</v>
      </c>
      <c r="J92" s="2">
        <v>1</v>
      </c>
      <c r="K92" s="2" t="s">
        <v>364</v>
      </c>
      <c r="L92" s="2" t="b">
        <v>0</v>
      </c>
      <c r="M92" s="2" t="s">
        <v>3</v>
      </c>
      <c r="N92" s="2" t="s">
        <v>4</v>
      </c>
      <c r="O92" s="2" t="s">
        <v>5</v>
      </c>
      <c r="P92" s="2" t="s">
        <v>4</v>
      </c>
      <c r="Q92" s="8" t="s">
        <v>4</v>
      </c>
      <c r="W92">
        <v>91</v>
      </c>
      <c r="X92" s="10">
        <v>0</v>
      </c>
      <c r="Y92" s="12">
        <v>0.33333333333333326</v>
      </c>
    </row>
    <row r="93" spans="1:25" x14ac:dyDescent="0.25">
      <c r="A93" s="3" t="s">
        <v>365</v>
      </c>
      <c r="B93" s="4">
        <v>1.1103305987683369E+18</v>
      </c>
      <c r="C93" s="4">
        <v>2300634288</v>
      </c>
      <c r="D93" s="4">
        <v>2592</v>
      </c>
      <c r="E93" s="4">
        <v>127</v>
      </c>
      <c r="F93" s="4">
        <v>112</v>
      </c>
      <c r="G93" s="4">
        <v>17867</v>
      </c>
      <c r="H93" s="4" t="s">
        <v>366</v>
      </c>
      <c r="I93" s="2">
        <f t="shared" si="1"/>
        <v>0.11111111111111116</v>
      </c>
      <c r="J93" s="4">
        <v>0</v>
      </c>
      <c r="K93" s="4" t="s">
        <v>367</v>
      </c>
      <c r="L93" s="4" t="b">
        <v>0</v>
      </c>
      <c r="M93" s="4" t="s">
        <v>3</v>
      </c>
      <c r="N93" s="4" t="s">
        <v>4</v>
      </c>
      <c r="O93" s="4" t="s">
        <v>368</v>
      </c>
      <c r="P93" s="4" t="s">
        <v>369</v>
      </c>
      <c r="Q93" s="9" t="s">
        <v>177</v>
      </c>
      <c r="W93">
        <v>92</v>
      </c>
      <c r="X93" s="11">
        <v>0.20230000000000001</v>
      </c>
      <c r="Y93" s="12">
        <v>0.11111111111111116</v>
      </c>
    </row>
    <row r="94" spans="1:25" x14ac:dyDescent="0.25">
      <c r="A94" s="1" t="s">
        <v>365</v>
      </c>
      <c r="B94" s="2">
        <v>1.1103305993346621E+18</v>
      </c>
      <c r="C94" s="2">
        <v>3067657002</v>
      </c>
      <c r="D94" s="2">
        <v>2907</v>
      </c>
      <c r="E94" s="2">
        <v>2730</v>
      </c>
      <c r="F94" s="2">
        <v>138</v>
      </c>
      <c r="G94" s="2">
        <v>35875</v>
      </c>
      <c r="H94" s="2" t="s">
        <v>370</v>
      </c>
      <c r="I94" s="2">
        <f t="shared" si="1"/>
        <v>0.11111111111111116</v>
      </c>
      <c r="J94" s="2">
        <v>0</v>
      </c>
      <c r="K94" s="2" t="s">
        <v>371</v>
      </c>
      <c r="L94" s="2" t="b">
        <v>0</v>
      </c>
      <c r="M94" s="2" t="s">
        <v>3</v>
      </c>
      <c r="N94" s="2" t="s">
        <v>4</v>
      </c>
      <c r="O94" s="2" t="s">
        <v>5</v>
      </c>
      <c r="P94" s="2" t="s">
        <v>4</v>
      </c>
      <c r="Q94" s="8" t="s">
        <v>4</v>
      </c>
      <c r="W94">
        <v>93</v>
      </c>
      <c r="X94" s="10">
        <v>0</v>
      </c>
      <c r="Y94" s="12">
        <v>0.11111111111111116</v>
      </c>
    </row>
    <row r="95" spans="1:25" x14ac:dyDescent="0.25">
      <c r="A95" s="3" t="s">
        <v>372</v>
      </c>
      <c r="B95" s="4">
        <v>1.1103306044349276E+18</v>
      </c>
      <c r="C95" s="4">
        <v>9.1530594033276518E+17</v>
      </c>
      <c r="D95" s="4">
        <v>62</v>
      </c>
      <c r="E95" s="4">
        <v>207</v>
      </c>
      <c r="F95" s="4">
        <v>688</v>
      </c>
      <c r="G95" s="4">
        <v>410</v>
      </c>
      <c r="H95" s="4" t="s">
        <v>373</v>
      </c>
      <c r="I95" s="2">
        <f t="shared" si="1"/>
        <v>-0.11111111111111116</v>
      </c>
      <c r="J95" s="4">
        <v>-1</v>
      </c>
      <c r="K95" s="4" t="s">
        <v>374</v>
      </c>
      <c r="L95" s="4" t="b">
        <v>0</v>
      </c>
      <c r="M95" s="4" t="s">
        <v>174</v>
      </c>
      <c r="N95" s="4" t="s">
        <v>4</v>
      </c>
      <c r="O95" s="4" t="s">
        <v>175</v>
      </c>
      <c r="P95" s="4" t="s">
        <v>176</v>
      </c>
      <c r="Q95" s="9" t="s">
        <v>177</v>
      </c>
      <c r="W95">
        <v>94</v>
      </c>
      <c r="X95" s="11">
        <v>0.20230000000000001</v>
      </c>
      <c r="Y95" s="12">
        <v>-0.11111111111111116</v>
      </c>
    </row>
    <row r="96" spans="1:25" x14ac:dyDescent="0.25">
      <c r="A96" s="1" t="s">
        <v>375</v>
      </c>
      <c r="B96" s="2">
        <v>1.1103306072158003E+18</v>
      </c>
      <c r="C96" s="2">
        <v>1.0100050074652385E+18</v>
      </c>
      <c r="D96" s="2">
        <v>50</v>
      </c>
      <c r="E96" s="2">
        <v>20</v>
      </c>
      <c r="F96" s="2">
        <v>2</v>
      </c>
      <c r="G96" s="2">
        <v>10203</v>
      </c>
      <c r="H96" s="2" t="s">
        <v>376</v>
      </c>
      <c r="I96" s="2">
        <f t="shared" si="1"/>
        <v>0.11111111111111116</v>
      </c>
      <c r="J96" s="2">
        <v>0</v>
      </c>
      <c r="K96" s="2" t="s">
        <v>377</v>
      </c>
      <c r="L96" s="2" t="b">
        <v>0</v>
      </c>
      <c r="M96" s="2" t="s">
        <v>3</v>
      </c>
      <c r="N96" s="2" t="s">
        <v>4</v>
      </c>
      <c r="O96" s="2" t="s">
        <v>5</v>
      </c>
      <c r="P96" s="2" t="s">
        <v>4</v>
      </c>
      <c r="Q96" s="8" t="s">
        <v>4</v>
      </c>
      <c r="W96">
        <v>95</v>
      </c>
      <c r="X96" s="10">
        <v>0</v>
      </c>
      <c r="Y96" s="12">
        <v>0.11111111111111116</v>
      </c>
    </row>
    <row r="97" spans="1:25" x14ac:dyDescent="0.25">
      <c r="A97" s="3" t="s">
        <v>375</v>
      </c>
      <c r="B97" s="4">
        <v>1.1103306067711549E+18</v>
      </c>
      <c r="C97" s="4">
        <v>9.4670267188876493E+17</v>
      </c>
      <c r="D97" s="4">
        <v>1148</v>
      </c>
      <c r="E97" s="4">
        <v>184</v>
      </c>
      <c r="F97" s="4">
        <v>606</v>
      </c>
      <c r="G97" s="4">
        <v>916</v>
      </c>
      <c r="H97" s="4" t="s">
        <v>378</v>
      </c>
      <c r="I97" s="2">
        <f t="shared" si="1"/>
        <v>0.11111111111111116</v>
      </c>
      <c r="J97" s="4">
        <v>0</v>
      </c>
      <c r="K97" s="4" t="s">
        <v>379</v>
      </c>
      <c r="L97" s="4" t="b">
        <v>0</v>
      </c>
      <c r="M97" s="4" t="s">
        <v>380</v>
      </c>
      <c r="N97" s="4" t="s">
        <v>381</v>
      </c>
      <c r="O97" s="4" t="s">
        <v>382</v>
      </c>
      <c r="P97" s="4" t="s">
        <v>4</v>
      </c>
      <c r="Q97" s="9" t="s">
        <v>21</v>
      </c>
      <c r="W97">
        <v>96</v>
      </c>
      <c r="X97" s="11">
        <v>-0.2732</v>
      </c>
      <c r="Y97" s="12">
        <v>0.11111111111111116</v>
      </c>
    </row>
    <row r="98" spans="1:25" x14ac:dyDescent="0.25">
      <c r="A98" s="1" t="s">
        <v>375</v>
      </c>
      <c r="B98" s="2">
        <v>1.1103306097113539E+18</v>
      </c>
      <c r="C98" s="2">
        <v>9.4571674519257498E+17</v>
      </c>
      <c r="D98" s="2">
        <v>616</v>
      </c>
      <c r="E98" s="2">
        <v>0</v>
      </c>
      <c r="F98" s="2">
        <v>0</v>
      </c>
      <c r="G98" s="2">
        <v>22676</v>
      </c>
      <c r="H98" s="2" t="s">
        <v>383</v>
      </c>
      <c r="I98" s="2">
        <f t="shared" si="1"/>
        <v>0.11111111111111116</v>
      </c>
      <c r="J98" s="2">
        <v>0</v>
      </c>
      <c r="K98" s="2" t="s">
        <v>384</v>
      </c>
      <c r="L98" s="2" t="b">
        <v>0</v>
      </c>
      <c r="M98" s="2" t="s">
        <v>385</v>
      </c>
      <c r="N98" s="2" t="s">
        <v>4</v>
      </c>
      <c r="O98" s="2" t="s">
        <v>386</v>
      </c>
      <c r="P98" s="2" t="s">
        <v>387</v>
      </c>
      <c r="Q98" s="8" t="s">
        <v>177</v>
      </c>
      <c r="W98">
        <v>97</v>
      </c>
      <c r="X98" s="10">
        <v>0.20230000000000001</v>
      </c>
      <c r="Y98" s="12">
        <v>0.11111111111111116</v>
      </c>
    </row>
    <row r="99" spans="1:25" x14ac:dyDescent="0.25">
      <c r="A99" s="3" t="s">
        <v>388</v>
      </c>
      <c r="B99" s="4">
        <v>1.1103306100384072E+18</v>
      </c>
      <c r="C99" s="4">
        <v>2398407836</v>
      </c>
      <c r="D99" s="4">
        <v>4704</v>
      </c>
      <c r="E99" s="4">
        <v>139</v>
      </c>
      <c r="F99" s="4">
        <v>991</v>
      </c>
      <c r="G99" s="4">
        <v>3017</v>
      </c>
      <c r="H99" s="4" t="s">
        <v>389</v>
      </c>
      <c r="I99" s="2">
        <f t="shared" si="1"/>
        <v>0.11111111111111116</v>
      </c>
      <c r="J99" s="4">
        <v>0</v>
      </c>
      <c r="K99" s="4" t="s">
        <v>390</v>
      </c>
      <c r="L99" s="4" t="b">
        <v>0</v>
      </c>
      <c r="M99" s="4" t="s">
        <v>391</v>
      </c>
      <c r="N99" s="4" t="s">
        <v>4</v>
      </c>
      <c r="O99" s="4" t="s">
        <v>392</v>
      </c>
      <c r="P99" s="4" t="s">
        <v>393</v>
      </c>
      <c r="Q99" s="9" t="s">
        <v>322</v>
      </c>
      <c r="W99">
        <v>98</v>
      </c>
      <c r="X99" s="11">
        <v>0.31819999999999998</v>
      </c>
      <c r="Y99" s="12">
        <v>0.11111111111111116</v>
      </c>
    </row>
    <row r="100" spans="1:25" x14ac:dyDescent="0.25">
      <c r="A100" s="1" t="s">
        <v>388</v>
      </c>
      <c r="B100" s="2">
        <v>1.1103306139854111E+18</v>
      </c>
      <c r="C100" s="2">
        <v>9.1195371079163085E+17</v>
      </c>
      <c r="D100" s="2">
        <v>2146</v>
      </c>
      <c r="E100" s="2">
        <v>769</v>
      </c>
      <c r="F100" s="2">
        <v>210</v>
      </c>
      <c r="G100" s="2">
        <v>6126</v>
      </c>
      <c r="H100" s="2" t="s">
        <v>394</v>
      </c>
      <c r="I100" s="2">
        <f t="shared" si="1"/>
        <v>-0.11111111111111116</v>
      </c>
      <c r="J100" s="2">
        <v>-1</v>
      </c>
      <c r="K100" s="2" t="s">
        <v>395</v>
      </c>
      <c r="L100" s="2" t="b">
        <v>0</v>
      </c>
      <c r="M100" s="2" t="s">
        <v>3</v>
      </c>
      <c r="N100" s="2" t="s">
        <v>396</v>
      </c>
      <c r="O100" s="2" t="s">
        <v>397</v>
      </c>
      <c r="P100" s="2" t="s">
        <v>398</v>
      </c>
      <c r="Q100" s="8" t="s">
        <v>399</v>
      </c>
      <c r="W100">
        <v>99</v>
      </c>
      <c r="X100" s="10">
        <v>-2.58E-2</v>
      </c>
      <c r="Y100" s="12">
        <v>-0.11111111111111116</v>
      </c>
    </row>
    <row r="101" spans="1:25" x14ac:dyDescent="0.25">
      <c r="A101" s="3" t="s">
        <v>400</v>
      </c>
      <c r="B101" s="4">
        <v>1.1103306218371482E+18</v>
      </c>
      <c r="C101" s="4">
        <v>7.7547094556582707E+17</v>
      </c>
      <c r="D101" s="4">
        <v>41</v>
      </c>
      <c r="E101" s="4">
        <v>59</v>
      </c>
      <c r="F101" s="4">
        <v>511</v>
      </c>
      <c r="G101" s="4">
        <v>338</v>
      </c>
      <c r="H101" s="4" t="s">
        <v>401</v>
      </c>
      <c r="I101" s="2">
        <f t="shared" si="1"/>
        <v>0.55555555555555558</v>
      </c>
      <c r="J101" s="4">
        <v>2</v>
      </c>
      <c r="K101" s="4" t="s">
        <v>402</v>
      </c>
      <c r="L101" s="4" t="b">
        <v>0</v>
      </c>
      <c r="M101" s="4" t="s">
        <v>3</v>
      </c>
      <c r="N101" s="4" t="s">
        <v>4</v>
      </c>
      <c r="O101" s="4" t="s">
        <v>403</v>
      </c>
      <c r="P101" s="4" t="s">
        <v>404</v>
      </c>
      <c r="Q101" s="9" t="s">
        <v>185</v>
      </c>
      <c r="W101">
        <v>100</v>
      </c>
      <c r="X101" s="11">
        <v>0.38179999999999997</v>
      </c>
      <c r="Y101" s="12">
        <v>0.55555555555555558</v>
      </c>
    </row>
    <row r="102" spans="1:25" x14ac:dyDescent="0.25">
      <c r="A102" s="1" t="s">
        <v>420</v>
      </c>
      <c r="B102" s="2">
        <v>1.1103306235901952E+18</v>
      </c>
      <c r="C102" s="2">
        <v>3869246600</v>
      </c>
      <c r="D102" s="2">
        <v>71</v>
      </c>
      <c r="E102" s="2">
        <v>96</v>
      </c>
      <c r="F102" s="2">
        <v>716</v>
      </c>
      <c r="G102" s="2">
        <v>849</v>
      </c>
      <c r="H102" s="2" t="s">
        <v>421</v>
      </c>
      <c r="I102" s="2">
        <f t="shared" si="1"/>
        <v>0.11111111111111116</v>
      </c>
      <c r="J102" s="2">
        <v>0</v>
      </c>
      <c r="K102" s="2" t="s">
        <v>422</v>
      </c>
      <c r="L102" s="2" t="b">
        <v>0</v>
      </c>
      <c r="M102" s="2" t="s">
        <v>423</v>
      </c>
      <c r="N102" s="2" t="s">
        <v>4</v>
      </c>
      <c r="O102" s="2" t="s">
        <v>424</v>
      </c>
      <c r="P102" s="2" t="s">
        <v>33</v>
      </c>
      <c r="Q102" s="8" t="s">
        <v>425</v>
      </c>
      <c r="W102">
        <v>101</v>
      </c>
      <c r="X102" s="10">
        <v>0.47239999999999999</v>
      </c>
      <c r="Y102" s="12">
        <v>0.11111111111111116</v>
      </c>
    </row>
    <row r="103" spans="1:25" x14ac:dyDescent="0.25">
      <c r="A103" s="3" t="s">
        <v>420</v>
      </c>
      <c r="B103" s="4">
        <v>1.1103306258552463E+18</v>
      </c>
      <c r="C103" s="4">
        <v>600329212</v>
      </c>
      <c r="D103" s="4">
        <v>1010</v>
      </c>
      <c r="E103" s="4">
        <v>1140</v>
      </c>
      <c r="F103" s="4">
        <v>364</v>
      </c>
      <c r="G103" s="4">
        <v>1373</v>
      </c>
      <c r="H103" s="4" t="s">
        <v>426</v>
      </c>
      <c r="I103" s="2">
        <f t="shared" si="1"/>
        <v>0.11111111111111116</v>
      </c>
      <c r="J103" s="4">
        <v>0</v>
      </c>
      <c r="K103" s="4" t="s">
        <v>427</v>
      </c>
      <c r="L103" s="4" t="b">
        <v>0</v>
      </c>
      <c r="M103" s="4" t="s">
        <v>428</v>
      </c>
      <c r="N103" s="4" t="s">
        <v>4</v>
      </c>
      <c r="O103" s="4" t="s">
        <v>429</v>
      </c>
      <c r="P103" s="4" t="s">
        <v>430</v>
      </c>
      <c r="Q103" s="9" t="s">
        <v>431</v>
      </c>
      <c r="W103">
        <v>102</v>
      </c>
      <c r="X103" s="11">
        <v>0.90349999999999997</v>
      </c>
      <c r="Y103" s="12">
        <v>0.11111111111111116</v>
      </c>
    </row>
    <row r="104" spans="1:25" x14ac:dyDescent="0.25">
      <c r="A104" s="1" t="s">
        <v>420</v>
      </c>
      <c r="B104" s="2">
        <v>1.1103306254945362E+18</v>
      </c>
      <c r="C104" s="2">
        <v>9.576572408732672E+17</v>
      </c>
      <c r="D104" s="2">
        <v>81</v>
      </c>
      <c r="E104" s="2">
        <v>1</v>
      </c>
      <c r="F104" s="2">
        <v>0</v>
      </c>
      <c r="G104" s="2">
        <v>20206</v>
      </c>
      <c r="H104" s="2" t="s">
        <v>432</v>
      </c>
      <c r="I104" s="2">
        <f t="shared" si="1"/>
        <v>0.33333333333333326</v>
      </c>
      <c r="J104" s="2">
        <v>1</v>
      </c>
      <c r="K104" s="2" t="s">
        <v>433</v>
      </c>
      <c r="L104" s="2" t="b">
        <v>0</v>
      </c>
      <c r="M104" s="2" t="s">
        <v>3</v>
      </c>
      <c r="N104" s="2" t="s">
        <v>4</v>
      </c>
      <c r="O104" s="2" t="s">
        <v>434</v>
      </c>
      <c r="P104" s="2" t="s">
        <v>435</v>
      </c>
      <c r="Q104" s="8" t="s">
        <v>436</v>
      </c>
      <c r="W104">
        <v>103</v>
      </c>
      <c r="X104" s="10">
        <v>0.2732</v>
      </c>
      <c r="Y104" s="12">
        <v>0.33333333333333326</v>
      </c>
    </row>
    <row r="105" spans="1:25" x14ac:dyDescent="0.25">
      <c r="A105" s="3" t="s">
        <v>420</v>
      </c>
      <c r="B105" s="4">
        <v>1.1103306253477642E+18</v>
      </c>
      <c r="C105" s="4">
        <v>9.8814770208832717E+17</v>
      </c>
      <c r="D105" s="4">
        <v>2</v>
      </c>
      <c r="E105" s="4">
        <v>0</v>
      </c>
      <c r="F105" s="4">
        <v>0</v>
      </c>
      <c r="G105" s="4">
        <v>491</v>
      </c>
      <c r="H105" s="4" t="s">
        <v>437</v>
      </c>
      <c r="I105" s="2">
        <f t="shared" si="1"/>
        <v>0.33333333333333326</v>
      </c>
      <c r="J105" s="4">
        <v>1</v>
      </c>
      <c r="K105" s="4" t="s">
        <v>438</v>
      </c>
      <c r="L105" s="4" t="b">
        <v>0</v>
      </c>
      <c r="M105" s="4" t="s">
        <v>3</v>
      </c>
      <c r="N105" s="4" t="s">
        <v>4</v>
      </c>
      <c r="O105" s="4" t="s">
        <v>5</v>
      </c>
      <c r="P105" s="4" t="s">
        <v>4</v>
      </c>
      <c r="Q105" s="9" t="s">
        <v>4</v>
      </c>
      <c r="W105">
        <v>104</v>
      </c>
      <c r="X105" s="11">
        <v>0</v>
      </c>
      <c r="Y105" s="12">
        <v>0.33333333333333326</v>
      </c>
    </row>
    <row r="106" spans="1:25" x14ac:dyDescent="0.25">
      <c r="A106" s="1" t="s">
        <v>420</v>
      </c>
      <c r="B106" s="2">
        <v>1.1103306265429647E+18</v>
      </c>
      <c r="C106" s="2">
        <v>8.6916638337169818E+17</v>
      </c>
      <c r="D106" s="2">
        <v>27</v>
      </c>
      <c r="E106" s="2">
        <v>127</v>
      </c>
      <c r="F106" s="2">
        <v>1578</v>
      </c>
      <c r="G106" s="2">
        <v>268</v>
      </c>
      <c r="H106" s="2" t="s">
        <v>439</v>
      </c>
      <c r="I106" s="2">
        <f t="shared" si="1"/>
        <v>-0.11111111111111116</v>
      </c>
      <c r="J106" s="2">
        <v>-1</v>
      </c>
      <c r="K106" s="2" t="s">
        <v>440</v>
      </c>
      <c r="L106" s="2" t="b">
        <v>0</v>
      </c>
      <c r="M106" s="2" t="s">
        <v>441</v>
      </c>
      <c r="N106" s="2" t="s">
        <v>442</v>
      </c>
      <c r="O106" s="2" t="s">
        <v>443</v>
      </c>
      <c r="P106" s="2" t="s">
        <v>4</v>
      </c>
      <c r="Q106" s="8" t="s">
        <v>444</v>
      </c>
      <c r="W106">
        <v>105</v>
      </c>
      <c r="X106" s="10">
        <v>-0.70650000000000002</v>
      </c>
      <c r="Y106" s="12">
        <v>-0.11111111111111116</v>
      </c>
    </row>
    <row r="107" spans="1:25" x14ac:dyDescent="0.25">
      <c r="A107" s="3" t="s">
        <v>445</v>
      </c>
      <c r="B107" s="4">
        <v>1.1103306276042711E+18</v>
      </c>
      <c r="C107" s="4">
        <v>9.0401430397557146E+17</v>
      </c>
      <c r="D107" s="4">
        <v>2657</v>
      </c>
      <c r="E107" s="4">
        <v>65</v>
      </c>
      <c r="F107" s="4">
        <v>1140</v>
      </c>
      <c r="G107" s="4">
        <v>20106</v>
      </c>
      <c r="H107" s="4" t="s">
        <v>446</v>
      </c>
      <c r="I107" s="2">
        <f t="shared" si="1"/>
        <v>0.33333333333333326</v>
      </c>
      <c r="J107" s="4">
        <v>1</v>
      </c>
      <c r="K107" s="4" t="s">
        <v>447</v>
      </c>
      <c r="L107" s="4" t="b">
        <v>0</v>
      </c>
      <c r="M107" s="4" t="s">
        <v>448</v>
      </c>
      <c r="N107" s="4" t="s">
        <v>4</v>
      </c>
      <c r="O107" s="4" t="s">
        <v>449</v>
      </c>
      <c r="P107" s="4" t="s">
        <v>450</v>
      </c>
      <c r="Q107" s="9" t="s">
        <v>451</v>
      </c>
      <c r="W107">
        <v>106</v>
      </c>
      <c r="X107" s="11">
        <v>0.90010000000000001</v>
      </c>
      <c r="Y107" s="12">
        <v>0.33333333333333326</v>
      </c>
    </row>
    <row r="108" spans="1:25" x14ac:dyDescent="0.25">
      <c r="A108" s="1" t="s">
        <v>445</v>
      </c>
      <c r="B108" s="2">
        <v>1.1103306308422574E+18</v>
      </c>
      <c r="C108" s="2">
        <v>9.8814770208832717E+17</v>
      </c>
      <c r="D108" s="2">
        <v>2</v>
      </c>
      <c r="E108" s="2">
        <v>0</v>
      </c>
      <c r="F108" s="2">
        <v>0</v>
      </c>
      <c r="G108" s="2">
        <v>492</v>
      </c>
      <c r="H108" s="2" t="s">
        <v>437</v>
      </c>
      <c r="I108" s="2">
        <f t="shared" si="1"/>
        <v>0.11111111111111116</v>
      </c>
      <c r="J108" s="2">
        <v>0</v>
      </c>
      <c r="K108" s="2" t="s">
        <v>452</v>
      </c>
      <c r="L108" s="2" t="b">
        <v>0</v>
      </c>
      <c r="M108" s="2" t="s">
        <v>3</v>
      </c>
      <c r="N108" s="2" t="s">
        <v>4</v>
      </c>
      <c r="O108" s="2" t="s">
        <v>5</v>
      </c>
      <c r="P108" s="2" t="s">
        <v>4</v>
      </c>
      <c r="Q108" s="8" t="s">
        <v>4</v>
      </c>
      <c r="W108">
        <v>107</v>
      </c>
      <c r="X108" s="10">
        <v>0</v>
      </c>
      <c r="Y108" s="12">
        <v>0.11111111111111116</v>
      </c>
    </row>
    <row r="109" spans="1:25" x14ac:dyDescent="0.25">
      <c r="A109" s="3" t="s">
        <v>453</v>
      </c>
      <c r="B109" s="4">
        <v>1.1103306332370616E+18</v>
      </c>
      <c r="C109" s="4">
        <v>1.0163683149336986E+18</v>
      </c>
      <c r="D109" s="4">
        <v>0</v>
      </c>
      <c r="E109" s="4">
        <v>0</v>
      </c>
      <c r="F109" s="4">
        <v>0</v>
      </c>
      <c r="G109" s="4">
        <v>706</v>
      </c>
      <c r="H109" s="4" t="s">
        <v>454</v>
      </c>
      <c r="I109" s="2">
        <f t="shared" si="1"/>
        <v>-0.33333333333333337</v>
      </c>
      <c r="J109" s="4">
        <v>-2</v>
      </c>
      <c r="K109" s="4" t="s">
        <v>455</v>
      </c>
      <c r="L109" s="4" t="b">
        <v>0</v>
      </c>
      <c r="M109" s="4" t="s">
        <v>456</v>
      </c>
      <c r="N109" s="4" t="s">
        <v>457</v>
      </c>
      <c r="O109" s="4" t="s">
        <v>458</v>
      </c>
      <c r="P109" s="4" t="s">
        <v>4</v>
      </c>
      <c r="Q109" s="9" t="s">
        <v>459</v>
      </c>
      <c r="W109">
        <v>108</v>
      </c>
      <c r="X109" s="11">
        <v>-0.4466</v>
      </c>
      <c r="Y109" s="12">
        <v>-0.33333333333333337</v>
      </c>
    </row>
    <row r="110" spans="1:25" x14ac:dyDescent="0.25">
      <c r="A110" s="1" t="s">
        <v>453</v>
      </c>
      <c r="B110" s="2">
        <v>1.1103306333798277E+18</v>
      </c>
      <c r="C110" s="2">
        <v>1325414028</v>
      </c>
      <c r="D110" s="2">
        <v>384</v>
      </c>
      <c r="E110" s="2">
        <v>529</v>
      </c>
      <c r="F110" s="2">
        <v>128</v>
      </c>
      <c r="G110" s="2">
        <v>517957</v>
      </c>
      <c r="H110" s="2" t="s">
        <v>191</v>
      </c>
      <c r="I110" s="2">
        <f t="shared" si="1"/>
        <v>0.11111111111111116</v>
      </c>
      <c r="J110" s="2">
        <v>0</v>
      </c>
      <c r="K110" s="2" t="s">
        <v>460</v>
      </c>
      <c r="L110" s="2" t="b">
        <v>0</v>
      </c>
      <c r="M110" s="2" t="s">
        <v>461</v>
      </c>
      <c r="N110" s="2" t="s">
        <v>4</v>
      </c>
      <c r="O110" s="2" t="s">
        <v>462</v>
      </c>
      <c r="P110" s="2" t="s">
        <v>463</v>
      </c>
      <c r="Q110" s="8" t="s">
        <v>163</v>
      </c>
      <c r="W110">
        <v>109</v>
      </c>
      <c r="X110" s="10">
        <v>0.34</v>
      </c>
      <c r="Y110" s="12">
        <v>0.11111111111111116</v>
      </c>
    </row>
    <row r="115" spans="1:2" x14ac:dyDescent="0.25">
      <c r="A115" t="s">
        <v>465</v>
      </c>
      <c r="B115">
        <f>MIN(J2:J110)</f>
        <v>-5</v>
      </c>
    </row>
    <row r="116" spans="1:2" x14ac:dyDescent="0.25">
      <c r="A116" t="s">
        <v>466</v>
      </c>
      <c r="B116">
        <f>MAX(J2:J110)</f>
        <v>4</v>
      </c>
    </row>
  </sheetData>
  <phoneticPr fontId="2" type="noConversion"/>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Križan</dc:creator>
  <cp:lastModifiedBy>Peter Križan</cp:lastModifiedBy>
  <dcterms:created xsi:type="dcterms:W3CDTF">2019-10-24T17:45:01Z</dcterms:created>
  <dcterms:modified xsi:type="dcterms:W3CDTF">2019-10-24T19:22:39Z</dcterms:modified>
</cp:coreProperties>
</file>